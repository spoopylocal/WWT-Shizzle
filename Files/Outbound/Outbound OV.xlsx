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wwt.sharepoint.com/sites/TwoPointAccess/Shared Documents/Files/Outbound/"/>
    </mc:Choice>
  </mc:AlternateContent>
  <xr:revisionPtr revIDLastSave="2" documentId="8_{27694702-8C0F-46BB-8E02-2918897F96FE}" xr6:coauthVersionLast="47" xr6:coauthVersionMax="47" xr10:uidLastSave="{BF261A9F-66BF-4076-9BAB-5F283FA03EF9}"/>
  <workbookProtection workbookAlgorithmName="SHA-512" workbookHashValue="643s0axKi82jj4UKTYhxzuQdJ6fms/Vx0u0BUUhBqdsMV23Tf9If5jChhZE57CLOn54r9u5agKwMJzCuxrR6hw==" workbookSaltValue="dfn9ur1y2L5TgjJFtEc+Vw==" workbookSpinCount="100000" lockStructure="1"/>
  <bookViews>
    <workbookView xWindow="28680" yWindow="-345" windowWidth="29040" windowHeight="15720" xr2:uid="{459AF96A-9556-4CB7-A081-58321696DF47}"/>
  </bookViews>
  <sheets>
    <sheet name="OB OV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9" i="3"/>
  <c r="K8" i="3"/>
  <c r="K6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K15" i="3" s="1"/>
  <c r="I14" i="3"/>
  <c r="K14" i="3" s="1"/>
  <c r="I13" i="3"/>
  <c r="K13" i="3" s="1"/>
  <c r="I12" i="3"/>
  <c r="K12" i="3" s="1"/>
  <c r="I11" i="3"/>
  <c r="K11" i="3" s="1"/>
  <c r="I10" i="3"/>
  <c r="K10" i="3" s="1"/>
  <c r="I9" i="3"/>
  <c r="I8" i="3"/>
  <c r="I7" i="3"/>
  <c r="K7" i="3" s="1"/>
  <c r="I6" i="3"/>
  <c r="I5" i="3"/>
  <c r="K5" i="3" s="1"/>
  <c r="I4" i="3"/>
  <c r="K4" i="3" s="1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6" i="3"/>
  <c r="C5" i="3"/>
  <c r="C4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D11" i="3"/>
  <c r="D10" i="3"/>
  <c r="D9" i="3"/>
  <c r="D8" i="3"/>
  <c r="E8" i="3" s="1"/>
  <c r="D7" i="3"/>
  <c r="D6" i="3"/>
  <c r="D5" i="3"/>
  <c r="E5" i="3" s="1"/>
  <c r="D4" i="3"/>
  <c r="E4" i="3" s="1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1" i="3"/>
  <c r="E10" i="3"/>
  <c r="E9" i="3"/>
  <c r="E7" i="3"/>
  <c r="E6" i="3"/>
  <c r="E2" i="3" l="1"/>
  <c r="K2" i="3" l="1"/>
</calcChain>
</file>

<file path=xl/sharedStrings.xml><?xml version="1.0" encoding="utf-8"?>
<sst xmlns="http://schemas.openxmlformats.org/spreadsheetml/2006/main" count="28" uniqueCount="20">
  <si>
    <t>Reportal</t>
  </si>
  <si>
    <t>Material Requirements</t>
  </si>
  <si>
    <t>Serial Validation</t>
  </si>
  <si>
    <t>WO</t>
  </si>
  <si>
    <t>WO Is the referenced orders WO #</t>
  </si>
  <si>
    <t>Rev 1.3</t>
  </si>
  <si>
    <t>Quantities</t>
  </si>
  <si>
    <t>Issuer</t>
  </si>
  <si>
    <t xml:space="preserve">Ben Cullum </t>
  </si>
  <si>
    <t>Issuer Is the person doing the OV</t>
  </si>
  <si>
    <t>Part  Number</t>
  </si>
  <si>
    <t>QTY</t>
  </si>
  <si>
    <t>GAH</t>
  </si>
  <si>
    <t>MR</t>
  </si>
  <si>
    <t>Difference</t>
  </si>
  <si>
    <t>Asset Sheet</t>
  </si>
  <si>
    <t>Date</t>
  </si>
  <si>
    <t>Date Is the date the OV Is filled out</t>
  </si>
  <si>
    <t>Task</t>
  </si>
  <si>
    <t>Task Is the current milestone of the WO when OV Is 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</si>
</sst>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i/>
      <u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i/>
      <u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A800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253342"/>
        <bgColor indexed="64"/>
      </patternFill>
    </fill>
  </fills>
  <borders count="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4" fontId="4" fillId="3" borderId="1" xfId="0" applyNumberFormat="1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3" tint="0.749961851863155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49961851863155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 patternType="solid">
          <bgColor theme="5" tint="0.39994506668294322"/>
        </patternFill>
      </fill>
    </dxf>
    <dxf>
      <font>
        <color theme="1" tint="4.9989318521683403E-2"/>
      </font>
      <fill>
        <patternFill patternType="solid">
          <bgColor theme="5" tint="0.39994506668294322"/>
        </patternFill>
      </fill>
    </dxf>
  </dxfs>
  <tableStyles count="0" defaultTableStyle="TableStyleMedium2" defaultPivotStyle="PivotStyleLight16"/>
  <colors>
    <mruColors>
      <color rgb="FFED7669"/>
      <color rgb="FFFF0000"/>
      <color rgb="FFFF5768"/>
      <color rgb="FF00CDAC"/>
      <color rgb="FF77C4A8"/>
      <color rgb="FFFFA500"/>
      <color rgb="FF262A76"/>
      <color rgb="FFA3D0D4"/>
      <color rgb="FFA80000"/>
      <color rgb="FF004B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1261935</xdr:colOff>
      <xdr:row>11</xdr:row>
      <xdr:rowOff>85605</xdr:rowOff>
    </xdr:from>
    <xdr:to>
      <xdr:col>21</xdr:col>
      <xdr:colOff>571545</xdr:colOff>
      <xdr:row>13</xdr:row>
      <xdr:rowOff>162945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E44C7969-E724-137A-6388-735FCE0A3173}"/>
                </a:ext>
              </a:extLst>
            </xdr14:cNvPr>
            <xdr14:cNvContentPartPr/>
          </xdr14:nvContentPartPr>
          <xdr14:nvPr macro=""/>
          <xdr14:xfrm>
            <a:off x="18606960" y="2895480"/>
            <a:ext cx="966960" cy="4964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E44C7969-E724-137A-6388-735FCE0A317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600842" y="2889360"/>
              <a:ext cx="979195" cy="50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656985</xdr:colOff>
      <xdr:row>12</xdr:row>
      <xdr:rowOff>7095</xdr:rowOff>
    </xdr:from>
    <xdr:to>
      <xdr:col>19</xdr:col>
      <xdr:colOff>653535</xdr:colOff>
      <xdr:row>15</xdr:row>
      <xdr:rowOff>57045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52734D39-82CF-E38C-565C-773996FA03B4}"/>
                </a:ext>
              </a:extLst>
            </xdr14:cNvPr>
            <xdr14:cNvContentPartPr/>
          </xdr14:nvContentPartPr>
          <xdr14:nvPr macro=""/>
          <xdr14:xfrm>
            <a:off x="15620760" y="3026520"/>
            <a:ext cx="2377800" cy="6786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52734D39-82CF-E38C-565C-773996FA03B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614639" y="3020397"/>
              <a:ext cx="2390042" cy="6908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569745</xdr:colOff>
      <xdr:row>17</xdr:row>
      <xdr:rowOff>161745</xdr:rowOff>
    </xdr:from>
    <xdr:to>
      <xdr:col>25</xdr:col>
      <xdr:colOff>533820</xdr:colOff>
      <xdr:row>19</xdr:row>
      <xdr:rowOff>177165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925ED872-C84A-2F50-9002-BA4016A75959}"/>
                </a:ext>
              </a:extLst>
            </xdr14:cNvPr>
            <xdr14:cNvContentPartPr/>
          </xdr14:nvContentPartPr>
          <xdr14:nvPr macro=""/>
          <xdr14:xfrm>
            <a:off x="19572120" y="4228920"/>
            <a:ext cx="2640600" cy="4345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925ED872-C84A-2F50-9002-BA4016A7595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566000" y="4222800"/>
              <a:ext cx="2652840" cy="44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313920</xdr:colOff>
      <xdr:row>18</xdr:row>
      <xdr:rowOff>133275</xdr:rowOff>
    </xdr:from>
    <xdr:to>
      <xdr:col>21</xdr:col>
      <xdr:colOff>160065</xdr:colOff>
      <xdr:row>21</xdr:row>
      <xdr:rowOff>9705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414FCB8A-BCFA-5D94-550B-3655EC5183AF}"/>
                </a:ext>
              </a:extLst>
            </xdr14:cNvPr>
            <xdr14:cNvContentPartPr/>
          </xdr14:nvContentPartPr>
          <xdr14:nvPr macro=""/>
          <xdr14:xfrm>
            <a:off x="16087320" y="4410000"/>
            <a:ext cx="3075120" cy="50508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414FCB8A-BCFA-5D94-550B-3655EC5183A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6081199" y="4403880"/>
              <a:ext cx="3087361" cy="51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427320</xdr:colOff>
      <xdr:row>23</xdr:row>
      <xdr:rowOff>19005</xdr:rowOff>
    </xdr:from>
    <xdr:to>
      <xdr:col>19</xdr:col>
      <xdr:colOff>650655</xdr:colOff>
      <xdr:row>25</xdr:row>
      <xdr:rowOff>134145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06009EE4-6253-759F-65A2-95BA1AE42A90}"/>
                </a:ext>
              </a:extLst>
            </xdr14:cNvPr>
            <xdr14:cNvContentPartPr/>
          </xdr14:nvContentPartPr>
          <xdr14:nvPr macro=""/>
          <xdr14:xfrm>
            <a:off x="16200720" y="5343480"/>
            <a:ext cx="1794960" cy="53424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06009EE4-6253-759F-65A2-95BA1AE42A9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6194599" y="5337360"/>
              <a:ext cx="1807202" cy="54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1359495</xdr:colOff>
      <xdr:row>23</xdr:row>
      <xdr:rowOff>46725</xdr:rowOff>
    </xdr:from>
    <xdr:to>
      <xdr:col>26</xdr:col>
      <xdr:colOff>124155</xdr:colOff>
      <xdr:row>26</xdr:row>
      <xdr:rowOff>10635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9CD9F3A9-2214-5934-A49D-A5F7E0E668AC}"/>
                </a:ext>
              </a:extLst>
            </xdr14:cNvPr>
            <xdr14:cNvContentPartPr/>
          </xdr14:nvContentPartPr>
          <xdr14:nvPr macro=""/>
          <xdr14:xfrm>
            <a:off x="18704520" y="5371200"/>
            <a:ext cx="3908160" cy="5925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9CD9F3A9-2214-5934-A49D-A5F7E0E668AC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8698399" y="5365080"/>
              <a:ext cx="3920401" cy="604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3T23:19:29.0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481 1 24575,'-2'18'0,"-1"0"0,-1 0 0,0 0 0,-2-2 0,-9 24 0,-4 14 0,-33 78 0,38-102 0,1 0 0,2 0 0,1 2 0,2-1 0,-6 53 0,-2 25 0,10-72 0,-2 56 0,9 406 0,-1-495 0,0-1 0,0 1 0,0 0 0,1 0 0,0 0 0,-1 0 0,2 0 0,0 0 0,-1 0 0,1-1 0,-1 1 0,1 0 0,1-1 0,-1 0 0,1 1 0,3 2 0,-4-4 0,0-1 0,0 0 0,0 1 0,1-1 0,0 0 0,-1 0 0,0 0 0,2 0 0,-2 0 0,0-1 0,1 1 0,-1-1 0,2 1 0,-2-1 0,1 0 0,-1 0 0,2 0 0,-2-1 0,1 1 0,-1 0 0,2-1 0,-2 0 0,1 1 0,-1-1 0,1 0 0,4-3 0,8-3 0,-2-1 0,0 0 0,0-1 0,0 0 0,0-1 0,12-13 0,-10 8 0,2 1 0,28-19 0,-10 12 0,-1-1 0,0-2 0,38-34 0,-62 48 0,0 0 0,-2 0 0,1-1 0,0 0 0,-1-1 0,-2 0 0,1 0 0,-2 0 0,1 0 0,-2 0 0,1-1 0,-2 0 0,2-16 0,-3 21 0,-1 0 0,-1 1 0,0-1 0,-1 0 0,-1 1 0,1-1 0,0 1 0,-1-1 0,0 1 0,0 0 0,-2 0 0,1 0 0,-1 0 0,0 1 0,-6-8 0,3 5 0,-2 0 0,0 1 0,0 0 0,-1 0 0,1 1 0,-2 0 0,1 0 0,-1 1 0,-18-7 0,-3 0 0,0 2 0,-1 2 0,-1 0 0,1 2 0,-36-4 0,-76-13 0,75 14 0,27 3 0,-82-4 0,91 11-1365,2 1-5461</inkml:trace>
  <inkml:trace contextRef="#ctx0" brushRef="#br0" timeOffset="480.09">2955 421 24575,'-6'1'-2,"2"0"0,0 0 0,-2 1 1,2-1-1,-1 1 0,1 1 0,-1-1 0,-3 3 0,-9 4-226,-28 15 18,2 1 0,-66 49 1,87-59 155,-24 22 418,-56 55 0,14-10-164,49-48-200,-177 141 0,184-149 0,2 0 0,1 2 0,-28 33 0,-34 36 0,78-84-1365,2 0-5461</inkml:trace>
  <inkml:trace contextRef="#ctx0" brushRef="#br0" timeOffset="993.55">2285 947 24575,'-1'-19'0,"-1"0"0,-1 0 0,-1 0 0,0 0 0,-2 2 0,0-1 0,-2 0 0,0 0 0,-1 1 0,-1 0 0,-1 1 0,-22-28 0,-15-7 0,-1 0 0,-74-55 0,31 26 0,57 54 32,27 20-265,0 0 0,1 0 1,-1 0-1,1-1 0,-8-10 0,5 3-6593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3T23:19:25.36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1601 24575,'1'-19'0,"2"2"0,0-1 0,2 0 0,0 0 0,0 1 0,10-18 0,10-33 0,-17 30 0,6-43 0,4-20 0,-2 27 0,16-50 0,-7 38 0,21-141 0,-44 201 0,-2 19 0,1 1 0,-1-1 0,1 1 0,0 0 0,1 0 0,-1-1 0,1 1 0,2 0 0,-2 0 0,1 0 0,6-9 0,-8 14 0,-1 1 0,0-1 0,1 1 0,-1 0 0,0-1 0,1 1 0,-1 0 0,0-1 0,1 1 0,-1 0 0,1 0 0,-1-1 0,0 1 0,1 0 0,-1 0 0,1 0 0,-1 0 0,1-1 0,-1 1 0,1 0 0,-1 0 0,1 0 0,-1 0 0,1 0 0,-1 0 0,1 0 0,-1 0 0,1 1 0,-1-1 0,1 0 0,-1 0 0,2 0 0,-2 0 0,1 1 0,0-1 0,14 19 0,4 27 0,-5-5 0,2-1 0,1 0 0,2-2 0,2 0 0,50 65 0,5 13 0,-36-50 0,63 103 0,-62-106 0,-27-43 0,-1 1 0,-1 1 0,17 39 0,7 26 0,-23-59 0,-1 0 0,-2 1 0,7 29 0,-15-46 0,2 16 0,2-1 0,2 1 0,0-1 0,15 31 0,-22-58 0,-1 0 0,0 0 0,0 1 0,1-1 0,-1 0 0,0 0 0,1 0 0,-1 0 0,0 0 0,1 1 0,-1-1 0,0 0 0,1 0 0,-1 0 0,0 0 0,1 0 0,-1 0 0,0 0 0,1 0 0,-1 0 0,0 0 0,1 0 0,-1 0 0,0-1 0,1 1 0,-1 0 0,0 0 0,0 0 0,1 0 0,-1-1 0,0 1 0,2 0 0,-2 0 0,0 0 0,0-1 0,1 1 0,-1 0 0,0 0 0,0-1 0,0 1 0,0 0 0,1-1 0,-1 1 0,0 0 0,0-1 0,0 1 0,0 0 0,0 0 0,0-1 0,0 1 0,0 0 0,0-1 0,0 1 0,0-1 0,9-19 0,-3-5 0,-2-1 0,-1-1 0,-1 2 0,-3-35 0,0 33 0,2-1 0,0 0 0,11-48 0,-7 49 0,0-1 0,-2-1 0,-1-32 0,-2 32 0,1 0 0,12-55 0,-7 51 0,4-55 0,3-15 0,14-91 0,19 1 0,-46 190 0,0 2 0,1-1 0,0 0 0,-1 0 0,1 0 0,0 0 0,0 0 0,2 0 0,-2 0 0,0 0 0,0 0 0,4-2 0,-5 3 0,1 1 0,-1 0 0,1-1 0,-1 1 0,1 0 0,-1 0 0,1 0 0,0 0 0,-1 0 0,2 0 0,-2 0 0,1 0 0,0 0 0,-1 0 0,1 0 0,-1 0 0,1 0 0,0 0 0,-1 0 0,1 0 0,-1 1 0,1-1 0,-1 0 0,1 0 0,-1 1 0,1-1 0,-1 0 0,1 1 0,0 0 0,5 5 0,-1 0 0,0 0 0,1 0 0,-2 1 0,7 11 0,-9-15 0,51 101 0,-36-69 0,1 1 0,33 45 0,40 67 0,45 59 0,-46-72 0,-32-47 0,-42-62 0,1 0 0,27 30 0,-27-35 0,-2 1 0,0 0 0,14 32 0,16 21 0,-10-11-1365,-25-43-5461</inkml:trace>
  <inkml:trace contextRef="#ctx0" brushRef="#br0" timeOffset="1120.33">2794 1444 24575,'-22'-54'0,"9"18"0,2 9 0,1-1 0,1-1 0,3 2 0,0-3 0,-3-43 0,7 16 0,0 26 0,2 0 0,0 2 0,2-2 0,8-32 0,-8 56 0,1 0 0,1 0 0,-1 0 0,2 1 0,-1-1 0,1 1 0,-1 1 0,2-1 0,-1 1 0,2-1 0,-1 1 0,-1 1 0,3-1 0,-2 1 0,1 0 0,14-6 0,3-2 0,1 2 0,1 2 0,46-11 0,-44 12 0,114-20 0,-127 25 0,-2 1 0,2 1 0,0 0 0,-1 1 0,1 0 0,0 1 0,22 5 0,-30-4 0,0 0 0,0 0 0,-1 1 0,-1-1 0,2 1 0,-2 0 0,2 1 0,-2-1 0,0 1 0,8 10 0,44 61 0,-45-57 0,79 132 0,-79-133 0,-2-1 0,0 2 0,0-1 0,-3 1 0,1 0 0,-2 1 0,-1 0 0,1-1 0,-3 1 0,0 0 0,-2 1 0,0-1 0,-1 0 0,-1 1 0,-5 27 0,5-44 0,-2 0 0,2 1 0,0-1 0,-1 0 0,0 0 0,0 0 0,0 0 0,-1 0 0,0-1 0,0 1 0,0-1 0,0 1 0,0-1 0,-1 0 0,1-1 0,-1 0 0,0 1 0,1-1 0,-8 4 0,-3-1 0,0-1 0,-1 0 0,1-1 0,-28 4 0,-3 0 0,1-1 0,0-2 0,1-2 0,-54-4 0,23 1 0,63 0 0,1 1 0,-1-1 0,1-1 0,0 0 0,-1 0 0,1-1 0,0 0 0,0-1 0,1 0 0,-1 0 0,1-1 0,0 0 0,0-1 0,1 0 0,-1 0 0,-12-12 0,-22-19 0,29 26 0,1-1 0,0 0 0,0-1 0,-17-23 0,22 26 0,0-1 0,1 1 0,0-2 0,1 0 0,0 0 0,2 0 0,-1 0 0,2-1 0,-1 1 0,1 0 0,1-1 0,0-20 0,2 15 0,-1-1 0,2 1 0,0-1 0,5-28 0,-4 42 0,-1 0 0,1 0 0,0-1 0,0 2 0,0-1 0,1 0 0,-1 0 0,2 1 0,-1-1 0,1 2 0,-1-1 0,2 0 0,-1 0 0,0 1 0,0-1 0,1 1 0,4-3 0,4 0 0,-1 0 0,0 1 0,0 1 0,1 0 0,0 1 0,1 0 0,-1 1 0,16-2 0,17 2 0,50 4 0,-21 1 0,-53-2 0,2 1 0,-2 1 0,2 1 0,-2 1 0,1 0 0,22 11 0,131 58 0,-89-36 0,-25-6 0,-3 2 0,0 1 0,88 74 0,-139-104 0,65 60-861,-51-44 438,0-2 0,32 22 0,2 2 1347,-48-35-942,2 0 0,-1 0 1,0-1-1,2 0 1,0-1-1,-1 0 0,1 0 1,12 3-1,2-1-6808</inkml:trace>
  <inkml:trace contextRef="#ctx0" brushRef="#br0" timeOffset="1869.78">5646 7 24575,'2'0'0,"-1"1"0,1 0 0,0 0 0,-1 0 0,1 0 0,-1 0 0,1 0 0,0 0 0,-1 1 0,1-1 0,-1 0 0,0 1 0,0-1 0,0 1 0,0-1 0,0 1 0,1 3 0,15 29 0,15 51 0,-11-36 0,23 98 0,-40-132 0,5 31 0,-1 1 0,0 49 0,-6-65 0,10 45 0,-8-51 0,1-2 0,-2 2 0,-2 28 0,-1-45 0,-1 1 0,-1 0 0,1-1 0,-2 1 0,0-1 0,1 0 0,-1 0 0,-1-1 0,-1 1 0,1 0 0,0-1 0,-1 1 0,-7 6 0,-7 7 0,-1-3 0,0 1 0,-1-1 0,-1-1 0,-1-1 0,0-1 0,-1-1 0,-2-1 0,2 0 0,-45 13 0,60-24 0,-17 6 0,1-1 0,-1-1 0,1-1 0,-2-1 0,-33 1 0,51-6 0,-1-1 0,2 0 0,-2 0 0,1-1 0,0 0 0,0-1 0,1 1 0,-1-2 0,2 1 0,-11-6 0,5 1 0,1 0 0,0-1 0,1 0 0,0 0 0,-15-19 0,19 18 0,-1-1 0,2-1 0,0 0 0,0 0 0,1 0 0,1 1 0,-5-29 0,4 3 0,-2-62 0,7 79 0,0 1 0,3 1 0,-1-1 0,8-34 0,-6 47 0,-2-1 0,1 0 0,1 0 0,0 1 0,1-1 0,-1 1 0,1 0 0,1 1 0,-1-1 0,1 1 0,1 0 0,-1 1 0,1 0 0,9-6 0,3-3 0,1 1 0,0 2 0,2 0 0,-1 0 0,45-12 0,-8 7-38,76-16-1289,-113 29-5499</inkml:trace>
  <inkml:trace contextRef="#ctx0" brushRef="#br0" timeOffset="2597.73">6378 242 24575,'15'0'-49,"22"1"-1074,-2-2 1,1 0-1,-1-3 1,1 0 0,57-16-1,-75 15 1802,1 0-1,-1-2 0,0-1 1,28-17-1,-40 21-466,-1 0 0,2-1 0,-2 1 0,0-1 0,0-1 0,0 1 0,-1-1 0,1 1 0,-1-1 0,-1 0 0,1 0 0,0 0 0,-2-1 0,1 0 0,1-9 0,-3 14-212,-1 0 0,0 0 0,1 1 0,-1-1 0,0 0 0,0 0 0,0 0 0,0 0 0,0 1 0,-1-1 0,1 0 0,0 0 0,-1 1 0,0 0 0,1-1 0,-1 0 0,0 1 0,0-1 0,0 1 0,0-1 0,0 1 0,0-1 0,0 1 0,-1 0 0,-1-2 0,-1 1 0,0-1 0,-1 1 0,2 0 0,-2 0 0,1 1 0,-1-1 0,1 1 0,0 0 0,-1 0 0,-6 0 0,-4-1 0,0 2 0,-1 0 0,1 0 0,0 1 0,-30 7 0,30-4 0,-1 1 0,1 1 0,-1 1 0,3 0 0,-2 0 0,1 1 0,0 1 0,1 0 0,0 1 0,1 1 0,-15 15 0,11-9 0,2 1 0,0 1 0,1 0 0,1 0 0,1 1 0,0 1 0,-7 22 0,-2 9 0,-11 29 0,21-47 0,3 1 0,1-1 0,-1 69 0,6-63 0,0-19 0,1 0 0,1 1 0,1-1 0,10 39 0,-10-54 0,0 0 0,0 0 0,1 0 0,1 0 0,-1-1 0,0 0 0,1 0 0,1 1 0,-1-2 0,0 1 0,1 0 0,0-1 0,0 0 0,0 0 0,2 0 0,-2 0 0,0-1 0,2 0 0,-1 0 0,12 3 0,5 2 0,-1-3 0,2 0 0,-2-1 0,1 0 0,1-2 0,32 0 0,-32-1 0,-2 1 0,35 8 0,39 2 0,-68-11-117,75-1 368,-93-1-418,-1 0 1,1-1-1,-1 1 1,0-2-1,1 1 1,-2-1-1,1 0 1,13-7-1,-8 0-6659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3T23:19:36.43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457 446 24575,'-38'-1'0,"-2"2"0,2 2 0,-55 9 0,77-8 0,-1 0 0,1-1 0,0 3 0,0 0 0,1 0 0,-17 10 0,24-11 0,1 0 0,0 1 0,0-1 0,0 1 0,1 0 0,1 1 0,-1 0 0,1-2 0,0 3 0,0-1 0,1 0 0,0 1 0,-4 10 0,-1 10 0,1-2 0,2 2 0,0 0 0,3 0 0,0 0 0,2 1 0,2-2 0,3 36 0,-2-58 0,0 0 0,0 1 0,1 0 0,-1 0 0,1-1 0,0 0 0,1 1 0,-1-1 0,1 0 0,0-1 0,1 1 0,-1-1 0,1 1 0,0-1 0,6 4 0,7 3 0,1 1 0,0-1 0,24 11 0,-8-8 0,1 0 0,1-4 0,68 15 0,-66-21-44,-1-1 0,55-4 0,-43 0-1189,-25 1-5593</inkml:trace>
  <inkml:trace contextRef="#ctx0" brushRef="#br0" timeOffset="701.32">1305 942 24575,'0'-6'0,"1"0"0,0 0 0,1 0 0,-1 1 0,1-1 0,1 1 0,0-1 0,-1 2 0,1-1 0,5-6 0,43-52 0,-37 47 0,-4 3 0,2 1 0,0 0 0,0 0 0,0 1 0,2 1 0,0 1 0,0 0 0,17-8 0,-27 15 0,1 0 0,-1 0 0,0 1 0,0-1 0,1 1 0,-1 0 0,0 0 0,2 1 0,-2-1 0,0 1 0,1 0 0,0 0 0,-1 0 0,1 1 0,0-1 0,-1 1 0,1 0 0,0 1 0,-1-1 0,0 1 0,0-1 0,1 1 0,-1 0 0,-1 1 0,1-1 0,0 1 0,0-1 0,-1 1 0,0 0 0,0 0 0,1 1 0,-1-1 0,-1 1 0,4 4 0,0 1 0,-1 1 0,0-1 0,0 1 0,-2 0 0,0 0 0,0 0 0,-1 0 0,1 0 0,-2 0 0,0 1 0,0-1 0,-1 1 0,-1-1 0,0 1 0,0-1 0,-2-1 0,1 2 0,-1-1 0,0 0 0,-1 0 0,-1-1 0,1 1 0,-1-1 0,-2 0 0,2-1 0,-1 1 0,-2-1 0,1 0 0,-1 0 0,-13 11 0,-8-1 0,-2-2 0,1 0 0,-43 16 0,56-26 0,-1 0 0,0-1 0,0-1 0,0 0 0,0-1 0,-2-1 0,-32-1 0,50-1 0,-1 0 0,0-1 0,0 1 0,0-1 0,1 0 0,-1 0 0,1 0 0,0 0 0,-2 0 0,2-1 0,0 1 0,0-1 0,0 1 0,0-1 0,0 0 0,-1 0 0,1 0 0,1 0 0,-1 0 0,1 0 0,-1 0 0,1 0 0,0-1 0,0 1 0,0-1 0,0 1 0,-1-1 0,2 1 0,-1-1 0,1 1 0,-1-4 0,-1-12 0,1 2 0,1-2 0,3-29 0,-1 21 0,-2 18 0,2 1 0,-1-1 0,0 1 0,1-1 0,0 1 0,0-1 0,0 1 0,1 0 0,2 1 0,-2-1 0,1 1 0,0-1 0,2 1 0,9-11 0,-7 9 0,1 1 0,0 0 0,1 0 0,0 1 0,0 0 0,0 2 0,1-1 0,-1 0 0,21-5 0,-6 3 0,-2 1 0,3 0 0,-2 2 0,42-3 0,-58 7 0,1 0 0,-1 0 0,1 1 0,-1 1 0,1-1 0,-2 1 0,2 0 0,-2 1 0,2 0 0,-2 0 0,1 1 0,-1 0 0,1 0 0,-1 0 0,0 1 0,-1 0 0,9 7 0,4 10 0,1 1 0,-2 0 0,-2 0 0,0 2 0,11 28 0,39 55 0,-62-101-91,0 0 0,1 0 0,1-1 0,-1 0 0,2 0 0,-1 0 0,0 0 0,1-1 0,0 0 0,1-1 0,-1 0 0,1 0 0,-1 0 0,11 3 0,3-3-6735</inkml:trace>
  <inkml:trace contextRef="#ctx0" brushRef="#br0" timeOffset="1230.76">2548 786 24575,'22'54'0,"4"49"0,-13-57 0,9 67 0,-19-22 0,-30-182 0,22 35 0,3 23 0,-11-50 0,6 39 0,2-2 0,0 1 0,4-1 0,10-75 0,-5 99 0,1 1 0,2 0 0,-1 1 0,3 0 0,0 0 0,18-28 0,-18 36 0,-2 0 0,2 1 0,0 0 0,1 0 0,0 1 0,0 1 0,2 0 0,-1 0 0,1 1 0,0 0 0,1 0 0,0 1 0,0 1 0,28-9 0,-17 8 0,1 2 0,0 0 0,0 2 0,0 0 0,1 1 0,-2 2 0,51 4 0,-68-4 6,-1 2 0,0-1 0,1 0 0,-2 1 0,1 0 0,1 0 0,-2 0 0,1 1-1,-1 0 1,1 0 0,-1 1 0,0-1 0,0 1 0,6 6 0,3 5-193,-1 0 0,-2 1 0,13 16 0,-12-13-519,0-1-6120</inkml:trace>
  <inkml:trace contextRef="#ctx0" brushRef="#br0" timeOffset="1928.46">3820 498 24575,'0'591'0,"0"-591"0,0 0 0,0 0 0,0 0 0,0 0 0,-1 0 0,1 0 0,0 0 0,0 0 0,0 0 0,0 0 0,0 0 0,0 0 0,0 0 0,0 0 0,0 0 0,0 0 0,0 0 0,-1 0 0,1 0 0,0 0 0,0 0 0,0 0 0,0 0 0,0 0 0,0 0 0,0 0 0,0 0 0,0 0 0,0 0 0,0 0 0,0 0 0,-1 0 0,1 0 0,0 0 0,0 0 0,0 1 0,0-1 0,0 0 0,0 0 0,0 0 0,0 0 0,0 0 0,0 0 0,0 0 0,0 0 0,0 0 0,0 0 0,0 0 0,0 0 0,0 1 0,0-1 0,0 0 0,0 0 0,0 0 0,0 0 0,-8-12 0,-4-17 0,7-6 0,1 1 0,2 0 0,1-1 0,2 2 0,9-62 0,-8 86 0,1 0 0,0 1 0,1 0 0,-1-1 0,2 1 0,0 1 0,-1 0 0,2 0 0,0-1 0,-1 1 0,2 1 0,-1-1 0,2 1 0,-1 0 0,0 1 0,1 0 0,-1 0 0,2 0 0,0 1 0,-1 0 0,1 0 0,0 2 0,0-1 0,11-1 0,47-20 0,-52 18 0,1 0 0,0 1 0,0 1 0,0 0 0,32-3 0,28-5 0,-55 8 0,0 0 0,0 2 0,29-1 0,-45 3 0,0 0 0,-1 1 0,1-1 0,0 1 0,-1 0 0,0 0 0,1 0 0,-1-1 0,0 2 0,1 0 0,-1 0 0,0 0 0,0 0 0,0 0 0,0 1 0,-1 0 0,0 0 0,2 0 0,-2 0 0,3 4 0,7 9 0,-1 1 0,-2 0 0,1-1 0,-1 2 0,-2 0 0,0 1 0,8 31 0,-1 5 0,3 1 0,33 68 0,-30-63 0,-16-45 0,0 0 0,1 0 0,16 28 0,-21-42-28,1-1-1,-1 0 1,0 1-1,1 0 1,-1 0 0,1-1-1,0 1 1,0-1-1,0 1 1,0-1-1,0 0 1,0 0-1,0 0 1,0 0 0,1 0-1,-1 0 1,0 0-1,0-1 1,0 1-1,1-1 1,0 1 0,-1-1-1,1 0 1,-1 0-1,0 0 1,0 0-1,1-1 1,0 1-1,-1 0 1,0-1 0,0 0-1,1 1 1,-1-1-1,0 0 1,1 0-1,-1 0 1,0-1-1,0 1 1,-1 0 0,1-1-1,0 1 1,-1-1-1,2 1 1,-2-1-1,1 0 1,-1 0-1,2-2 1,7-12-6798</inkml:trace>
  <inkml:trace contextRef="#ctx0" brushRef="#br0" timeOffset="2410.25">5317 733 24575,'3'-1'0,"1"0"0,0 0 0,-1-1 0,1 1 0,-1-1 0,1 1 0,-1 0 0,0-1 0,4-4 0,15-7 0,54-10 0,-51 17 0,0-1 0,24-11 0,-44 16 0,0 0 0,0-1 0,-1 2 0,1-2 0,0 0 0,-1 0 0,0-1 0,1 1 0,-2-1 0,1 0 0,-1 0 0,0 0 0,1 0 0,3-9 0,-6 12 0,0-1 0,0 0 0,0 0 0,-1 0 0,1 0 0,-1 1 0,2-1 0,-2 0 0,0 0 0,0 0 0,1 0 0,-2 0 0,1 0 0,0 0 0,0 0 0,-2 0 0,2 0 0,-1 0 0,1 1 0,-1-1 0,0 0 0,-1-2 0,0 1 0,0 1 0,0 1 0,-1-1 0,0 0 0,1 0 0,-1 1 0,1-1 0,-1 1 0,0 0 0,0 0 0,0 0 0,0 0 0,0 0 0,-3 0 0,-15-2 0,1 2 0,-2 0 0,-37 3 0,35-1 0,5 0 0,-1 2 0,0-1 0,0 2 0,1 1 0,0 0 0,-24 9 0,31-9 0,0 0 0,1 0 0,0 1 0,0 0 0,1 1 0,0 0 0,-1 1 0,3 0 0,-2 0 0,2 1 0,-8 10 0,8-7 0,2 0 0,-1 0 0,2 1 0,0 0 0,0 0 0,1 0 0,2 0 0,-3 16 0,3-3 0,-1 0 0,3 1 0,5 30 0,-5-49 0,1 0 0,1-1 0,0 1 0,0-1 0,0 0 0,1 0 0,1 0 0,-1 0 0,1-1 0,-1 1 0,3-1 0,3 7 0,5 0 0,1 1 0,0-2 0,27 17 0,-26-20 0,0 0 0,1 0 0,0-2 0,1 0 0,-1-1 0,1 0 0,1-1 0,0-1 0,20 1 0,2-1 0,-1-2 0,1-1 0,52-5 0,-79 3-105,-1-2 0,0 1 0,0-2 0,1 0 0,-1 0 0,0-1 0,-1-1 0,0 0 0,0 0 0,0-1 0,-1-1 0,12-10 0,-11 7-6721</inkml:trace>
  <inkml:trace contextRef="#ctx0" brushRef="#br0" timeOffset="2769.31">6532 158 24575,'1'3'0,"0"0"0,0 0 0,1 0 0,-1 0 0,1-1 0,-1 1 0,1 0 0,0 0 0,0-1 0,0 1 0,5 3 0,12 18 0,-14-8 0,1 1 0,-2 0 0,-1 0 0,1 16 0,6 25 0,47 231 0,-48-225 0,-8-51 0,1 0 0,1 0 0,-1 0 0,1 0 0,1 0 0,9 18 0,-7-16 20,1 0 0,-2 0-1,-1-1 1,0 1 0,2 29-1,9 30-1502,-10-57-5343</inkml:trace>
  <inkml:trace contextRef="#ctx0" brushRef="#br0" timeOffset="3094.05">7182 1 24575,'3'0'0,"1"1"0,-1 0 0,1 0 0,0 0 0,-1 0 0,1 1 0,-1-1 0,1 1 0,-1 0 0,0 0 0,0 0 0,-1 0 0,2 1 0,-2-1 0,1 1 0,-1 0 0,0-1 0,0 1 0,0 0 0,3 3 0,6 12 0,0 1 0,9 22 0,-14-28 0,20 43 0,-4-8 0,2 1 0,38 52 0,-28-40 0,-26-47 0,-1 0 0,2 0 0,15 20 0,-5-11 0,-2 0 0,17 34 0,-20-33 0,1-1 0,27 34 0,44 53 0,-64-79 0,-12-18-341,1 0 0,0-1-1,14 12 1,-9-10-6485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3T23:19:31.18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454 102 24575,'0'31'0,"0"630"0,1-641 0,2-1 0,7 34 0,-4-31 0,-2-1 0,0 23 0,11 66 0,-8-77 0,1 54 0,-8-62-1365,0-2-5461</inkml:trace>
  <inkml:trace contextRef="#ctx0" brushRef="#br0" timeOffset="496.63">1 1 24575,'1670'0'-1365,"-1645"0"-5461</inkml:trace>
  <inkml:trace contextRef="#ctx0" brushRef="#br0" timeOffset="1490.5">2349 385 24575,'0'486'0,"-1"-466"0,-1-1 0,-9 34 0,6-32 0,0 0 0,0 24 0,6 149 0,-2-233 0,2 0 0,2 0 0,13-61 0,-12 90 0,-1-2 0,0 2 0,1-1 0,1 0 0,0 1 0,0-1 0,2 1 0,-1 1 0,2-1 0,-1 1 0,1 0 0,0 0 0,1 1 0,0 1 0,1-1 0,0 1 0,-1 0 0,15-6 0,11-3 0,1 3 0,2-1 0,-1 4 0,56-12 0,-65 18 0,1 2 0,0-1 0,-1 3 0,0 0 0,1 1 0,45 7 0,-64-4 0,0 0 0,0 0 0,0 1 0,-1 0 0,0 0 0,0 1 0,0 0 0,-1 0 0,0 1 0,-1 0 0,1 0 0,-1 1 0,0-1 0,-1 2 0,0-1 0,-1 1 0,7 13 0,6 15 0,-2 0 0,20 73 0,-8 18 0,-23-107-1365,-1-1-5461</inkml:trace>
  <inkml:trace contextRef="#ctx0" brushRef="#br0" timeOffset="2178.66">3934 1356 24575,'-6'-1'0,"2"1"0,0-1 0,-1 0 0,1 0 0,-1-1 0,0 1 0,1-1 0,0 0 0,1 0 0,-2 1 0,1-1 0,1-1 0,-1 0 0,0 1 0,1-1 0,0 0 0,-3-4 0,-8-8 0,0-2 0,-15-22 0,12 15 0,-7-9 0,-68-102 0,87 126 0,2-2 0,-1 1 0,0 0 0,2 0 0,0 0 0,0-1 0,0-14 0,5-81 0,0 44 0,-3 55 0,0 1 0,0-1 0,1 1 0,0 0 0,0-1 0,2 1 0,-1-1 0,0 2 0,1-1 0,-1 0 0,1 0 0,2 0 0,-2 1 0,1 0 0,0 0 0,1-1 0,0 1 0,-1 1 0,2 0 0,-1 0 0,7-5 0,3 1 0,0 2 0,0-1 0,1 0 0,0 2 0,0 0 0,0 0 0,29-2 0,59-15 0,-73 13 0,0 2 0,2 2 0,53-4 0,-25 8 0,-16-1 0,0 1 0,-1 3 0,46 5 0,-87-6 0,1-1 0,0 1 0,1 0 0,-1 0 0,-1 1 0,1-1 0,0 1 0,0 0 0,-1 0 0,0 0 0,2 0 0,-2 0 0,0 1 0,-1-1 0,1 0 0,1 1 0,-2 0 0,1 0 0,-1 0 0,0 1 0,0-1 0,3 6 0,-2 1 0,0 0 0,-1 0 0,0 0 0,-1 1 0,-1-1 0,0 1 0,-1 10 0,1 5 0,0-1 0,-2 0 0,0-1 0,-1 0 0,-8 25 0,8-41 0,0 0 0,-1-1 0,0 1 0,0 0 0,0-1 0,-2-1 0,1 1 0,0 0 0,-1 0 0,0-1 0,-1-1 0,0 1 0,1 0 0,-2-1 0,-13 7 0,-161 90 0,173-98-151,0 0-1,0-2 0,1 1 0,-2 0 1,0 0-1,1-1 0,0-1 1,-19 2-1,4-2-6674</inkml:trace>
  <inkml:trace contextRef="#ctx0" brushRef="#br0" timeOffset="3167.42">5008 1151 24575,'-1'-1'0,"0"1"0,0 0 0,0-1 0,0 1 0,0-1 0,0 1 0,-1-1 0,2 1 0,-1-1 0,0 1 0,0-1 0,0 0 0,1 0 0,-1 1 0,1-1 0,-1 0 0,0 1 0,1-1 0,-1 0 0,1 1 0,0-1 0,-1 0 0,1 0 0,0 0 0,-1-1 0,-9-33 0,7 19 0,-5-8 0,2 0 0,1 1 0,0-1 0,0-33 0,7-103 0,1 58 0,-3 93 0,0 0 0,0 0 0,2-1 0,-1 1 0,1 1 0,0-1 0,0-1 0,1 2 0,7-12 0,-8 16 0,1 0 0,0 0 0,1 0 0,0 1 0,-1-1 0,1 1 0,1-1 0,-2 2 0,2-1 0,-1 1 0,1-1 0,-1 1 0,1 0 0,1 0 0,-2 0 0,1 0 0,1 1 0,-1 0 0,9-1 0,34-3 0,-1 3 0,88 4 0,-27 2 0,-78-5 0,-17 0 0,-2 1 0,2 0 0,0 1 0,-1 0 0,24 6 0,-32-6 0,0 1 0,0 0 0,-1-1 0,1 1 0,0 1 0,-1-1 0,0 0 0,0 0 0,0 0 0,1 1 0,-2 0 0,1 0 0,-1 0 0,0 0 0,0 1 0,0-1 0,1 1 0,-2-2 0,1 2 0,-1-1 0,0 1 0,1 5 0,3 16 0,-1 0 0,-2 1 0,-1-1 0,-4 46 0,1-8 0,2-54 0,-2 2 0,0 0 0,0-1 0,-5 16 0,7-24 0,-1 1 0,1-1 0,-1 0 0,-1 1 0,1-1 0,0 0 0,0 0 0,0 1 0,-1-2 0,1 1 0,-1 0 0,1 0 0,-1-1 0,0 1 0,-1 0 0,2-1 0,-1 1 0,0-1 0,0 1 0,-1-1 0,1 0 0,-1 0 0,1 0 0,-1 0 0,1 0 0,-3 0 0,4-2 0,-2 1 0,2-1 0,0 0 0,-1 1 0,1-1 0,0 0 0,0 0 0,0 0 0,-1 0 0,1 0 0,0 0 0,-1 0 0,2-1 0,-1 1 0,0 0 0,0-1 0,1 1 0,-1 0 0,0-1 0,1 1 0,-1-1 0,1 2 0,0-2 0,0 1 0,-1 0 0,1-1 0,0 1 0,1-4 0,-3-42 0,5 34 0,0-1 0,2 2 0,0-1 0,0 1 0,1-1 0,0 2 0,2-1 0,-1 0 0,11-11 0,22-38 0,-35 54 0,2-2 0,-2 1 0,1 0 0,1 2 0,0-2 0,1 1 0,-1 1 0,2 0 0,15-10 0,-6 6 0,2 0 0,0 1 0,32-11 0,-33 15 0,-2 1 0,1 0 0,0 1 0,0 1 0,0 1 0,1 1 0,-1 0 0,0 0 0,0 2 0,0 0 0,0 1 0,21 6 0,-37-7 0,1 0 0,1 0 0,-2 0 0,1 0 0,-1 0 0,1-1 0,-1 2 0,0-1 0,1 1 0,-1 0 0,0-1 0,-1 1 0,1 0 0,-1 0 0,0 0 0,1 0 0,1 4 0,10 64 0,-7-37 0,9 24 0,-9-39 0,-1 0 0,0 1 0,1 34 0,-8 0 0,0-42 0,1 2 0,0 0 0,1-2 0,1 2 0,0-2 0,1 2 0,4 14 0,5-13-1365,2-3-5461</inkml:trace>
  <inkml:trace contextRef="#ctx0" brushRef="#br0" timeOffset="3918.21">6677 640 24575,'3'-7'0,"0"1"0,2 1 0,-1 0 0,0-1 0,1 1 0,0 0 0,-1 0 0,2 1 0,6-5 0,-2 1 0,0 1 0,0 1 0,1-1 0,1 1 0,-2 1 0,2 0 0,17-5 0,6 1 0,47-7 0,-30 6 0,-48 9 0,1 0 0,-1 0 0,-1 1 0,1-1 0,1 1 0,-1 0 0,0 0 0,0 0 0,1 1 0,-2-1 0,1 1 0,0 0 0,1 0 0,-2 0 0,1 1 0,-1-1 0,2 1 0,-2 0 0,4 2 0,-4-3 0,-1 2 0,0-1 0,0 1 0,0 0 0,-1 0 0,1-1 0,-1 1 0,0 0 0,2 0 0,-3 0 0,1 0 0,0 0 0,0 0 0,-1 0 0,0 0 0,0 1 0,0-1 0,0 0 0,0 0 0,-1-1 0,1 2 0,-1-1 0,-1 5 0,-1-2 0,1 0 0,0-2 0,-1 2 0,1 0 0,-1-1 0,-1 0 0,0-1 0,1 1 0,-1 0 0,-1 0 0,0-1 0,1 0 0,-2 0 0,2-1 0,-1 1 0,-1-1 0,0 1 0,1-2 0,-1 1 0,0 0 0,-1-1 0,2 0 0,-11 2 0,-9 0 0,1 0 0,0-1 0,0-1 0,-47-1 0,16 0 0,39 0 0,0 0 0,-1-1 0,1 0 0,0-1 0,0-1 0,-25-6 0,40 7 0,-2 1 0,2-1 0,0 0 0,-1 1 0,1-1 0,0 0 0,0 0 0,0 1 0,0-1 0,0 0 0,0 0 0,0-1 0,0 1 0,-1 0 0,1 0 0,0-1 0,1 1 0,-1-1 0,1 1 0,-1 0 0,1-1 0,-1-2 0,1 0 0,-1 0 0,1 1 0,0-1 0,1 0 0,-1 0 0,1 0 0,0 0 0,2-7 0,0 5 0,-1 1 0,1-1 0,-1 1 0,1 0 0,1 0 0,0 0 0,-1 0 0,1 0 0,1 1 0,-1 0 0,0 0 0,9-5 0,-9 6 0,2 1 0,0 0 0,-1 0 0,1 1 0,-1-1 0,1 1 0,0 1 0,-1 0 0,2-1 0,-2 1 0,1 0 0,0 0 0,0 1 0,-1-1 0,1 1 0,0 0 0,0 0 0,-1 1 0,0 0 0,1 0 0,-1 0 0,0 1 0,5 3 0,12 7 0,0 2 0,-1 0 0,35 36 0,5 1 0,-1-3 0,-44-35 0,1-1 0,0 1 0,0-3 0,1 1 0,26 11 0,19 16 0,-52-32 0,-1 0 0,2 0 0,0 0 0,16 6 0,4-2 0,-1 0 0,1-3 0,1 0 0,0-2 0,0-1 0,0-2 0,2 0 0,38-3 0,-50-4 0,-1 0 0,1-2 0,-1-1 0,0-1 0,-1 0 0,32-17 0,-19 4-1365,-19 13-5461</inkml:trace>
  <inkml:trace contextRef="#ctx0" brushRef="#br0" timeOffset="4455.59">8771 77 24575,'-61'-15'0,"-44"6"0,-140 6 0,195 4 0,47-1 0,-2 0 0,2 0 0,0 0 0,-1 0 0,0 1 0,1-1 0,-1 1 0,1 0 0,-1 0 0,1 1 0,0-1 0,0 0 0,0 1 0,-1 0 0,1 0 0,0 0 0,1 0 0,-1 0 0,-4 3 0,5-2 0,1 1 0,-1-1 0,1 0 0,-1 0 0,1 1 0,0-1 0,1 0 0,-2 0 0,2 1 0,-1-1 0,1 1 0,0 0 0,0-1 0,0 1 0,1-1 0,1 0 0,-2 0 0,3 7 0,0 2 0,1-1 0,0 1 0,1-1 0,0 0 0,0 0 0,2-1 0,0 1 0,1 0 0,-1-2 0,2 1 0,-1-1 0,2-1 0,0 1 0,-1-1 0,21 12 0,22 10 0,-25-14 0,1 0 0,1-2 0,44 16 0,29 8 0,-57-21 0,1 0 0,73 15 0,-91-26 0,48 19 0,19 3 0,-93-28 0,0 1 0,0-1 0,0 0 0,1 1 0,-1-1 0,0 1 0,0 0 0,0-1 0,0 0 0,0 1 0,-1 0 0,2 1 0,-1-1 0,-1 0 0,1 0 0,-1 1 0,0-1 0,1 1 0,-1-1 0,0 1 0,0 0 0,0-1 0,1 1 0,-1 0 0,0 0 0,0 0 0,-1-1 0,1 1 0,0-1 0,-1 1 0,0 0 0,0 0 0,1 0 0,-1 3 0,-1-2 0,0 0 0,0 0 0,0 0 0,0 0 0,-2-1 0,2 1 0,-1 0 0,1-1 0,-1 1 0,0-1 0,0 1 0,0-1 0,-1 0 0,0 1 0,1-1 0,-1 0 0,1-2 0,-1 2 0,-1 0 0,2-1 0,-5 2 0,-249 83 0,221-75 0,-1-1 0,-1-1 0,1-2 0,-46 4 0,3 0 0,52-6 0,-2-1 0,-34 1 0,35-5-1365,3 0-5461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3T23:19:40.98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 1162 24575,'-1'-44'0,"0"29"0,0 0 0,1 0 0,0 0 0,1-1 0,1 1 0,1 1 0,1-1 0,-1 0 0,2 1 0,13-28 0,-13 34 0,2 0 0,-1 0 0,2 1 0,-2-1 0,2 1 0,0 1 0,0-1 0,1 1 0,-1 1 0,1 0 0,0 0 0,1 0 0,-1 1 0,1 0 0,12-2 0,20-4 0,-1 1 0,67-5 0,5-1 0,-40 5 0,0 4 0,0 2 0,100 7 0,-32 0 0,-136-3 0,1 0 0,-2 0 0,1 1 0,0 0 0,0 0 0,0 0 0,0 0 0,0 1 0,-1 0 0,1 0 0,-1 0 0,1 1 0,-1-1 0,0 1 0,0 0 0,4 4 0,-2-2 0,-1 1 0,0 0 0,0 1 0,-1-1 0,0 1 0,1 0 0,-2 0 0,0 0 0,3 10 0,-1-2 0,-2 0 0,0 0 0,-1-1 0,0 1 0,-2 0 0,0 0 0,0 0 0,-1 1 0,-7 28 0,6-38 0,-1-1 0,1 1 0,0-1 0,-1 1 0,0-1 0,0 0 0,-1 0 0,0-1 0,1 1 0,-1-1 0,-2 1 0,2-1 0,0 0 0,-1-1 0,-1 1 0,1-1 0,-7 3 0,-9 4 0,0-2 0,-1 0 0,-32 6 0,-20 7 0,61-16 0,-2 0 0,0-2 0,0 0 0,-1 0 0,1-1 0,1-1 0,-2 0 0,1-1 0,-1-1 0,1 0 0,0-1 0,-1 0 0,1-1 0,1-1 0,-1-1 0,1 1 0,-20-11 0,5-1 0,2-2 0,-1-1 0,-31-28 0,56 42 0,-2 1 0,2-1 0,0 1 0,0-1 0,0 0 0,-1 0 0,2 0 0,0-1 0,0 1 0,1 0 0,-1-1 0,1 0 0,0 1 0,1-1 0,0 1 0,-1-1 0,2 0 0,-1 1 0,1-1 0,-1 0 0,2 1 0,-1-1 0,1 1 0,2-7 0,0 4 0,-1 0 0,0 1 0,1 0 0,0-1 0,2 1 0,-2 0 0,1 0 0,2 0 0,-2 1 0,1 0 0,1 0 0,0 0 0,1 1 0,-2 0 0,13-6 0,18-3 0,43-12 0,31-11 0,-94 31 0,0 1 0,1 1 0,-1 0 0,34-2 0,16-3 0,-14 2 0,0 2 0,0 2 0,85 6 0,-24 0 0,-103-4 0,-1 2 0,1-1 0,0 1 0,-1 1 0,1 0 0,-1 0 0,0 1 0,1 0 0,13 7 0,-17-6 0,0 0 0,-1 1 0,0-1 0,0 1 0,0 0 0,-1 1 0,1-1 0,-1 1 0,-1 0 0,1 0 0,-1 1 0,0-1 0,5 12 0,9 23 0,1-1 0,3-1 0,1-1 0,3-1 0,52 61 0,-26-35 0,9 7 0,-20-26 0,-27-30 0,1 1 0,23 19 0,1-1 0,-21-18 0,1 0 0,0 0 0,22 11 0,-36-24 0,0 1 0,-1 0 0,2-1 0,0 0 0,-1 0 0,1-1 0,-1 1 0,1-1 0,0 0 0,0-1 0,-1 1 0,2-1 0,-2 0 0,1 0 0,0-1 0,0 0 0,9-2 0,12-13-1365,-16 5-5461</inkml:trace>
  <inkml:trace contextRef="#ctx0" brushRef="#br0" timeOffset="683.76">2473 159 24575,'1'10'0,"0"1"0,1-2 0,2 2 0,-1-1 0,0 0 0,10 17 0,11 41 0,-1 120 0,-14-121 0,-4 0 0,-6 124 0,-1-68 0,2-121 0,1 31 0,-2 1 0,-1 0 0,-14 59 0,11-67 0,5-19 0,-1-1 0,0 0 0,-2 0 0,2 0 0,-1 0 0,0 0 0,-1 0 0,0 0 0,-5 7 0,7-14 0,1 1 0,-1 0 0,1-1 0,-1 1 0,1 0 0,-1-1 0,1 1 0,-1-1 0,1 1 0,0-1 0,-1 1 0,1-1 0,0 1 0,-1-1 0,1 0 0,0 1 0,0-1 0,-1 1 0,1-1 0,0 0 0,0 1 0,0-1 0,0 0 0,0 1 0,0-1 0,0 1 0,0-1 0,0 0 0,0 1 0,1-2 0,-4-27 0,4-348 0,0 355 0,1 1 0,11-40 0,-2 5 0,-3 10 0,1 1 0,26-72 0,-27 99 0,-1 0 0,3 1 0,-1 0 0,2 0 0,0 1 0,1 0 0,0 1 0,2 0 0,15-13 0,-12 15 0,1 0 0,2 1 0,-1 0 0,0 2 0,1 0 0,1 1 0,-1 2 0,2 0 0,0 1 0,0 1 0,31-4 0,-4 0 0,-18 2 0,0 2 0,56-2 0,-76 7 0,21 0 0,0 0 0,-1 2 0,45 8 0,-66-8 0,0 1 0,-1 0 0,2 1 0,-1 0 0,-2 0 0,2 1 0,-2 0 0,2 0 0,-3 1 0,1-1 0,0 2 0,0 0 0,-1 0 0,9 11 0,1 4 0,-3 1 0,1 1 0,-1 0 0,-2 1 0,-1 0 0,-1 0 0,-2 2 0,0-1 0,-2 1 0,0-1 0,1 53 0,-6-60 0,1 0 0,8 27 0,2 30 0,-9-57 0,-1-1 0,1 1 0,1-1 0,1 0 0,2 0 0,-1 0 0,2-1 0,12 22 0,-19-38-50,-1 0-1,1 0 1,0 1-1,0-1 0,0 0 1,0 1-1,0-1 1,0 0-1,1 0 1,-1 0-1,0 0 0,2 0 1,-2 0-1,0-1 1,1 1-1,-1 0 1,1-1-1,-1 1 0,1-1 1,-1 1-1,1-1 1,0 0-1,0 1 1,0-1-1,-1 0 1,3 0-1,13-3-6775</inkml:trace>
  <inkml:trace contextRef="#ctx0" brushRef="#br0" timeOffset="1204.48">4887 1 24575,'2'10'0,"0"0"0,2 0 0,-1 1 0,0-2 0,1 1 0,1 0 0,0-1 0,1 0 0,-1 0 0,9 9 0,16 29 0,-12-13 0,-2 1 0,-1 1 0,-3 0 0,13 58 0,-17-54 0,-4-25 0,0 0 0,-1 1 0,-1-1 0,0 1 0,-2 0 0,0-1 0,0 0 0,-2 1 0,0-1 0,-7 26 0,2-23 0,-1 0 0,0 0 0,-2-1 0,1 0 0,-3-1 0,2 0 0,-3-1 0,0 0 0,-1 0 0,0-2 0,-1 0 0,-1 0 0,0-1 0,-32 18 0,41-27 0,-2 0 0,2 0 0,-2 0 0,1-1 0,-1 0 0,1 0 0,0-1 0,-1 0 0,0-1 0,1 0 0,-1 0 0,-11-2 0,16 2 0,1-1 0,-1 0 0,0 0 0,0 0 0,1-1 0,0 1 0,0-1 0,-1 0 0,1 1 0,0-2 0,0 1 0,0 0 0,1 0 0,-2-1 0,2 0 0,-1 1 0,1-1 0,0 0 0,0 0 0,0 0 0,1 0 0,-2 0 0,2-1 0,0 1 0,0-1 0,0 1 0,0 0 0,0-1 0,0-5 0,0 1 0,1 1 0,-1-1 0,1 0 0,1 1 0,-1-1 0,1 1 0,1-1 0,-1 1 0,5-10 0,-4 14 0,0-1 0,0 1 0,0-1 0,0 1 0,0 0 0,1 0 0,0 0 0,0 0 0,0 0 0,0 1 0,0-1 0,0 1 0,2 0 0,-2 0 0,1 0 0,-1 0 0,2 0 0,-1 1 0,4-2 0,50-16 0,-43 13 0,1 0 0,1 1 0,-1 1 0,1 1 0,25-3 0,190 5 89,-109 3-1543,-105-2-5372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3T23:19:44.31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65 158 24575,'1'24'0,"-2"0"0,0 1 0,-1-1 0,-3 1 0,1-2 0,-3 1 0,-11 30 0,10-31 0,2 0 0,2 1 0,-1-1 0,3 2 0,0-2 0,2 1 0,4 38 0,-2 7 0,0-50 0,0 1 0,10 33 0,-8-33 0,0 2 0,2 25 0,-2 13 0,3 2 0,28 111 0,-29-151 0,-1-3 0,0 1 0,2-2 0,12 29 0,-16-43 0,0 1 0,-1 0 0,1-1 0,0 0 0,1 0 0,0 0 0,-1 0 0,2 0 0,-1-2 0,0 2 0,1-1 0,-1 0 0,1 0 0,0-1 0,0 1 0,0-1 0,0 0 0,11 3 0,13 1 0,6 2 0,1-2 0,48 3 0,-72-8 0,0-1 0,-1-1 0,0 1 0,1-2 0,-1 0 0,1 0 0,-1-1 0,0 1 0,0-2 0,-1 0 0,17-8 0,-16 5 0,-1-1 0,0 1 0,-1-1 0,1 0 0,-1-1 0,-1 0 0,0-1 0,0 1 0,-2-1 0,1-1 0,-1 0 0,-1 1 0,0-1 0,-1 0 0,0-1 0,5-22 0,-1-9 0,-3-1 0,-1 0 0,-4-51 0,2 85 0,-4 2 0,2-2 0,-1 1 0,-1-1 0,0 0 0,0 2 0,-1-1 0,-1 0 0,0 0 0,-9-14 0,10 18 0,-2 0 0,1 0 0,0 0 0,-2 1 0,1-1 0,1 1 0,-3 2 0,2-2 0,-1 1 0,0-1 0,0 1 0,0 1 0,0-1 0,-1 1 0,1 0 0,-1 1 0,-10-2 0,-12-2 0,-22-5 0,1 4 0,-80-3 0,-66 11 0,222-1 0,-1 2 0,1 1 0,49 12 0,28 7 0,-36-18 0,131-4 0,-90-2 0,-103 1 0,1 0 0,0 0 0,-1 0 0,1 0 0,-1-1 0,1 0 0,-1 0 0,0 0 0,1-1 0,-1 1 0,1-1 0,-1 0 0,1-1 0,-2 1 0,1-1 0,0 0 0,-1 0 0,0-1 0,1 1 0,-1-1 0,-1 0 0,1 1 0,0-1 0,-1 0 0,0 0 0,0-1 0,0 1 0,-1-1 0,0 0 0,0 0 0,0 0 0,-1 1 0,0-1 0,1 0 0,-1 0 0,0 0 0,-1-1 0,0-5 0,0 0 0,0-1 0,0 0 0,-1-1 0,-2 2 0,1-1 0,-1 1 0,0-1 0,-2 1 0,-6-17 0,6 20 0,0 2 0,-1-2 0,1 1 0,0 0 0,-2 1 0,1-1 0,-1 2 0,0-1 0,-1 1 0,0-1 0,1 2 0,-2-1 0,-15-6 0,-235-90 0,224 89 0,1 1 0,-2 2 0,-39-5 0,6 1 0,-10 1 0,-13-2 0,321 91-1365,-210-69-5461</inkml:trace>
  <inkml:trace contextRef="#ctx0" brushRef="#br0" timeOffset="928.2">1468 805 24575,'0'3'0,"1"0"0,-1 1 0,1-1 0,0 0 0,0 1 0,0-2 0,0 1 0,2 0 0,-2 0 0,1 0 0,0 0 0,0 0 0,0-1 0,0 1 0,1-1 0,0 1 0,-1-1 0,1 0 0,1 0 0,-2 0 0,1 0 0,0 0 0,0-1 0,1 1 0,0-1 0,-1 0 0,1-1 0,-1 1 0,1 0 0,5 0 0,11 3 0,1-1 0,0-1 0,39-1 0,-19-2 0,0-1 0,58-9 0,-83 8 0,-1-1 0,1 0 0,-1-1 0,1 0 0,-1-1 0,-1 0 0,0-2 0,0 2 0,15-13 0,-25 15 0,0 1 0,-1-1 0,0 0 0,-1 0 0,2 1 0,-2-1 0,0 0 0,0-1 0,0 1 0,0-1 0,-1 1 0,1-1 0,-1 0 0,0 1 0,-1-1 0,1 1 0,-1-1 0,0 1 0,-1-9 0,1 10 0,-1 0 0,1 0 0,-1 0 0,1 0 0,-2 0 0,1 1 0,0-1 0,0 0 0,0 1 0,-1-1 0,1 0 0,-1 1 0,0-1 0,-1 1 0,2-1 0,-2 1 0,1 0 0,0 0 0,0 0 0,-2 0 0,2 0 0,-1 0 0,1 1 0,-1-1 0,-1 1 0,1 0 0,0 0 0,0 1 0,0-1 0,-6 0 0,-56-2 0,-65 6 0,11 0 0,109-3 0,0 0 0,1 0 0,0 1 0,-1 1 0,1 0 0,0 0 0,-1 0 0,2 1 0,-1 0 0,0 1 0,1 0 0,-1 0 0,0 1 0,2 0 0,-1 0 0,1-1 0,0 2 0,-1 0 0,2 1 0,-1-1 0,2 1 0,0 1 0,-8 10 0,1-2 0,1 0 0,1 2 0,0-1 0,3 0 0,-1 2 0,2-2 0,-1 2 0,3 1 0,0-2 0,-3 38 0,7-42 0,0-2 0,1 2 0,1-1 0,1-1 0,0 2 0,0-1 0,1 0 0,1-1 0,7 14 0,-7-18 0,0-1 0,1 1 0,-1-1 0,2 1 0,-1-1 0,1 0 0,0-2 0,1 1 0,0 0 0,0 0 0,0-1 0,0 0 0,1 0 0,12 3 0,92 45 0,-93-45 0,-1 0 0,1-2 0,0 0 0,1-1 0,-1 0 0,2-3 0,29 3 0,158-6 0,-98-1 0,-105 1-65,0 1 0,0-1 0,0 1 0,-1-1 0,2 0 0,-2 0 0,0-1 0,1 0 0,-1 0 0,1-1 0,-1 1 0,1-1 0,-2 0 0,1-1 0,0 1 0,-1-1 0,0 1 0,1-1 0,-2-1 0,4-3 0,6-4-6761</inkml:trace>
  <inkml:trace contextRef="#ctx0" brushRef="#br0" timeOffset="1656.04">2927 469 24575,'0'405'0,"-1"-392"0,0 0 0,-1 0 0,-8 22 0,-4 29 0,11-42 0,0-1 0,-3 1 0,0-1 0,-2 0 0,1 0 0,-3-1 0,-17 29 0,26-48 0,1 1 0,-1 0 0,0-1 0,0 1 0,-1-1 0,1 1 0,0-1 0,0 0 0,0 1 0,0-1 0,0 0 0,-1 0 0,1 0 0,-1 0 0,0 0 0,1-1 0,-1 1 0,-2 1 0,3-2 0,0-1 0,1 1 0,-1 0 0,0-1 0,-1 1 0,2-1 0,-1 1 0,0 0 0,1 0 0,-1-1 0,1 0 0,-1 1 0,1-1 0,-1 0 0,1 1 0,-1-1 0,1 0 0,0 1 0,-1-1 0,1 0 0,0 0 0,-1 0 0,1 1 0,0-1 0,0-2 0,-2-10 0,-1-1 0,1 2 0,2-18 0,-1 14 0,-1-1 0,-1 0 0,0 2 0,-2-2 0,-9-22 0,8 22 0,-1 1 0,3-1 0,0 0 0,-4-34 0,8 23 0,3-178 0,-2 199 0,0 0 0,2 0 0,-1 1 0,1-1 0,-1 1 0,1-1 0,2 1 0,-2-1 0,1 1 0,1 1 0,-1-1 0,1 1 0,1-1 0,-1 1 0,1 0 0,0 0 0,6-3 0,3-1 0,0 0 0,1 0 0,1 1 0,-1 1 0,0 0 0,24-4 0,-13 6 0,0 1 0,1 1 0,-1 2 0,2 0 0,35 4 0,5-1 0,-56-1 0,-1 0 0,-1 1 0,2 0 0,-1 1 0,0 0 0,0 1 0,-1 0 0,1 0 0,-1 1 0,-1 0 0,1 1 0,0 1 0,16 12 0,-15-9 0,-1-1 0,0 2 0,-1 0 0,0-1 0,-1 1 0,0 1 0,-1 1 0,-1-2 0,0 2 0,8 21 0,-4-1 0,11 60 0,-17-73 0,1 1 0,0-1 0,16 29 0,7 22 0,-11-6-58,-5-21-595,33 78-1,-38-107-6172</inkml:trace>
  <inkml:trace contextRef="#ctx0" brushRef="#br0" timeOffset="2620.73">5503 313 24575,'-29'2'0,"0"2"0,1 1 0,-2 1 0,2 0 0,1 2 0,-31 13 0,-31 8 0,59-17 0,1 1 0,-1 0 0,2 2 0,1 2 0,-31 22 0,16-12 0,-216 155 0,249-176 0,2 1 0,-1 0 0,2-1 0,-1 1 0,1 1 0,-1 0 0,2 0 0,-1 1 0,2-2 0,0 2 0,-1 0 0,2 0 0,-4 16 0,1-6 0,3-1 0,0 1 0,2 0 0,0-1 0,3 37 0,0-46 0,0 0 0,0-1 0,2 1 0,-1-1 0,0 1 0,1-1 0,1-1 0,0 1 0,0-1 0,1 1 0,7 8 0,12 8 0,45 37 0,-49-45 0,-3-3 0,0-1 0,2-1 0,-1-1 0,2-1 0,-1 0 0,2-1 0,39 9 0,18 8 0,-39-13 0,1-3 0,0-1 0,76 7 0,0-1 0,-103-11-170,1 0-1,-1-1 0,1-1 1,0 0-1,0-1 0,-1-1 1,21-2-1,-17-3-6655</inkml:trace>
  <inkml:trace contextRef="#ctx0" brushRef="#br0" timeOffset="3527.37">6105 572 24575,'-2'0'0,"0"1"0,1-1 0,0 1 0,0-1 0,0 1 0,0 0 0,0 0 0,0 0 0,0-1 0,0 1 0,-1 0 0,1 0 0,0 0 0,0 1 0,1-1 0,-1 0 0,0 0 0,1 0 0,-1 0 0,0 2 0,-14 32 0,12-26 0,-4 12 0,2 1 0,0 0 0,2 0 0,1 0 0,1 1 0,1-2 0,3 26 0,-1 11 0,-2-51 0,1 0 0,0 0 0,2-1 0,-1 1 0,0 0 0,0-1 0,1 1 0,1-1 0,-1 0 0,0-1 0,1 1 0,1 0 0,-1 0 0,1-1 0,1 0 0,-1 0 0,1 0 0,-1-1 0,2 0 0,-2 0 0,1 0 0,1-1 0,0 1 0,0-1 0,1-1 0,-2 1 0,2-1 0,-1 0 0,0-1 0,0 1 0,1-1 0,-1-1 0,1 1 0,0-1 0,-1-1 0,1 1 0,-1-1 0,1 0 0,-1-1 0,1 0 0,0 0 0,8-4 0,-8 1 0,2-1 0,-1-1 0,-1 1 0,1-1 0,-1 0 0,-1-1 0,0 0 0,0-1 0,0 2 0,5-13 0,34-38 0,-17 35 0,48-34 0,-44 36 0,40-38 0,-53 38 0,-15 15 0,1 1 0,-1-1 0,0 1 0,2 0 0,9-7 0,-15 12 0,0-1 0,0 1 0,0 0 0,1 0 0,-1 0 0,0 0 0,0 0 0,0 0 0,0 0 0,0 1 0,0-1 0,0 0 0,0 0 0,0 1 0,0-1 0,1 1 0,-1-1 0,0 1 0,0-1 0,0 1 0,0-1 0,-1 1 0,1 0 0,0 0 0,0-1 0,-1 1 0,1 0 0,0 0 0,-1 0 0,1 0 0,-1 0 0,1 0 0,-1 0 0,0 0 0,2 0 0,-2 1 0,18 42 0,-17-40 0,28 57 0,-21-46 0,-2-1 0,11 28 0,-2 9 0,29 130 0,-40-165 0,1 2 0,1-2 0,8 20 0,12 31 0,-6 5 0,-9-38 0,-2 1 0,-1 0 0,-3 1 0,2 38 0,-8-6-1365,1-57-5461</inkml:trace>
  <inkml:trace contextRef="#ctx0" brushRef="#br0" timeOffset="3925.92">7364 417 24575,'1'7'0,"1"-1"0,0 1 0,0 0 0,2 0 0,-2 0 0,2 0 0,-1-1 0,7 8 0,11 23 0,2 14 0,3-2 0,45 66 0,-67-110 0,12 23 0,20 47 0,1 4 0,-20-43 0,-3-1 0,0 1 0,-3 1 0,-1 0 0,5 50 0,7-3-1365,-19-64-5461</inkml:trace>
  <inkml:trace contextRef="#ctx0" brushRef="#br0" timeOffset="4281.21">8023 236 24575,'3'0'0,"-1"0"0,1 1 0,0 0 0,0-1 0,0 1 0,-1 0 0,1 0 0,-1 1 0,1-1 0,0 0 0,-1 0 0,0 1 0,0-1 0,1 1 0,-1 0 0,0 0 0,0 0 0,0 0 0,-1 0 0,3 4 0,28 51 0,-27-46 0,5 13 0,-1 0 0,-2 1 0,5 29 0,14 46 0,-2-37 0,15 38 0,29 133 0,-62-215 0,0 0 0,11 25 0,11 33 0,15 126-1365,-37-180-5461</inkml:trace>
  <inkml:trace contextRef="#ctx0" brushRef="#br0" timeOffset="5098.35">8595 262 24575,'21'54'0,"-3"22"0,2 0 0,36 80 0,-28-73 0,-21-58 0,2 0 0,1-1 0,0 0 0,17 25 0,11 14 0,-26-42 0,0 1 0,2-2 0,1 1 0,24 24 0,-22-27 0,-14-13 0,1 0 0,0 0 0,1 0 0,0-1 0,1 0 0,7 6 0,-12-10 0,1 1 0,-1-1 0,0 1 0,0-1 0,1 1 0,-1-1 0,0 0 0,2 0 0,-2 0 0,0 0 0,0 0 0,1 0 0,-1 0 0,0 0 0,1 0 0,-1 0 0,0-1 0,2 1 0,-2-1 0,0 1 0,0-1 0,0 1 0,1-1 0,-1 0 0,0 1 0,0-1 0,0 0 0,1 0 0,-1 0 0,0 1 0,0-1 0,-1 0 0,1 0 0,0 0 0,0 0 0,-1 0 0,1-2 0,8-11 0,-2 0 0,0 0 0,-1 0 0,0-1 0,-2 1 0,0-2 0,0 1 0,-2 1 0,1-31 0,10-47 0,16-64 0,-23 127 0,-2-1 0,-2 1 0,-1 0 0,-3-33 0,3-59 0,27-18 0,-16 87 0,-6 34 0,-2-1 0,2-32 0,-6 46-117,-1 2 48,1 1-1,0 0 1,0 0 0,0 0-1,0 0 1,1 1 0,-1-1-1,1-1 1,-1 1 0,2 0-1,-1 0 1,-1 0 0,1 1-1,0-1 1,0 0 0,1 0-1,0-2 1,5 2-6757</inkml:trace>
  <inkml:trace contextRef="#ctx0" brushRef="#br0" timeOffset="6086.85">10054 1219 24575,'-1'-16'0,"-1"0"0,0 2 0,-1-1 0,-2 0 0,0 1 0,-1-1 0,1 0 0,-3 2 0,1-1 0,-12-15 0,-40-85 0,8 14 0,46 90 0,-1-2 0,2 1 0,0-1 0,0 1 0,1-1 0,1 0 0,-2-21 0,6-91 0,1 51 0,-3 64 0,1-1 0,0 0 0,0 0 0,1 0 0,1 1 0,0-1 0,0 1 0,1-1 0,1 2 0,7-14 0,-9 17 0,0 0 0,2 0 0,-2 1 0,1 1 0,0-1 0,1 0 0,0 0 0,-1 0 0,2 1 0,-1 0 0,1 0 0,-1 0 0,1 0 0,-1 1 0,1 0 0,0 0 0,0 0 0,0 1 0,10-1 0,36-1 0,1 2 0,70 6 0,-110-3 0,0 0 0,-1 1 0,1 1 0,-1 0 0,0 0 0,0 1 0,0 0 0,-2 1 0,1 0 0,21 14 0,-14-5 0,0-1 0,0 3 0,-2-1 0,26 34 0,-30-32 0,-1 2 0,0-1 0,-3 1 0,1 0 0,-2 1 0,-1-1 0,-1 2 0,0-1 0,-2 0 0,0 34 0,-3-55 0,0 0 0,0 0 0,0 0 0,0 0 0,0 0 0,0 0 0,-1-1 0,1 1 0,0 0 0,0 0 0,0 0 0,0 0 0,0 0 0,0 0 0,0 0 0,0 0 0,0 1 0,0-1 0,-1 0 0,1 0 0,0 0 0,0 0 0,0 0 0,0 0 0,0 0 0,0 0 0,0 0 0,0 0 0,0 0 0,0 0 0,0 0 0,0 0 0,0 0 0,-1 0 0,1 0 0,0 0 0,0 1 0,0-1 0,0 0 0,0 0 0,0 0 0,0 0 0,0 0 0,0 0 0,0 0 0,0 0 0,0 0 0,0 0 0,0 1 0,0-1 0,0 0 0,0 0 0,0 0 0,0 0 0,0 0 0,-6-12 0,-7-17 0,-12-109 0,18 99 0,3 0 0,1-1 0,1 1 0,8-58 0,-2 78 0,1 0 0,0 0 0,1 0 0,2 2 0,0-2 0,1 1 0,1 1 0,1 0 0,0 0 0,2 2 0,0-1 0,1 2 0,0-1 0,1 1 0,33-22 0,-31 28 0,1 1 0,1 0 0,-1 3 0,0-1 0,2 1 0,-1 0 0,1 1 0,38 0 0,-52 3 0,21-1 0,-1 0 0,42 6 0,-58-4 0,-2 1 0,2 0 0,-1 1 0,-1 0 0,1 0 0,0 0 0,-1 0 0,0 2 0,0-1 0,13 11 0,0 3 0,-2 2 0,1 1 0,-3 0 0,-1 1 0,-1 0 0,19 35 0,-5-8 0,8 10 0,-11-16 0,1 1 0,2-3 0,68 73 0,-82-97 0,1 1 0,-2 0 0,-1 1 0,10 21 0,6 6 0,-11-14-66,-15-25-52,0-1-1,1 1 1,0 0 0,0-1 0,2 1 0,-2-1 0,1 0 0,1-1 0,0 0 0,12 9 0,-2-6-6708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8278-FD98-4790-B939-35BD0713C4D2}">
  <sheetPr codeName="Sheet1"/>
  <dimension ref="A1:AA111"/>
  <sheetViews>
    <sheetView tabSelected="1" zoomScale="85" zoomScaleNormal="85" workbookViewId="0">
      <selection sqref="A1:E1"/>
    </sheetView>
  </sheetViews>
  <sheetFormatPr defaultColWidth="12.1796875" defaultRowHeight="14.5" x14ac:dyDescent="0.35"/>
  <cols>
    <col min="1" max="1" width="45.81640625" style="1" customWidth="1"/>
    <col min="2" max="2" width="7.453125" style="1" bestFit="1" customWidth="1"/>
    <col min="3" max="3" width="8" style="1" bestFit="1" customWidth="1"/>
    <col min="4" max="4" width="8" style="1" customWidth="1"/>
    <col min="5" max="5" width="16.81640625" style="1" customWidth="1"/>
    <col min="6" max="6" width="3.54296875" style="1" customWidth="1"/>
    <col min="7" max="7" width="45.54296875" style="1" customWidth="1"/>
    <col min="8" max="8" width="7.453125" style="1" customWidth="1"/>
    <col min="9" max="10" width="8" style="1" customWidth="1"/>
    <col min="11" max="11" width="16.81640625" style="1" customWidth="1"/>
    <col min="12" max="12" width="3.54296875" style="1" customWidth="1"/>
    <col min="13" max="14" width="20.54296875" style="1" customWidth="1"/>
    <col min="15" max="15" width="3.54296875" style="1" customWidth="1"/>
    <col min="16" max="16" width="12.1796875" style="1"/>
    <col min="17" max="17" width="7.54296875" style="1" customWidth="1"/>
    <col min="18" max="18" width="3.54296875" style="1" customWidth="1"/>
    <col min="19" max="19" width="12.1796875" style="1"/>
    <col min="20" max="20" width="21.1796875" style="1" bestFit="1" customWidth="1"/>
    <col min="21" max="21" width="3.54296875" style="1" customWidth="1"/>
    <col min="22" max="22" width="12.1796875" style="1"/>
    <col min="23" max="23" width="3.54296875" style="1" customWidth="1"/>
    <col min="24" max="24" width="12.1796875" style="1" customWidth="1"/>
    <col min="25" max="25" width="12.1796875" style="1"/>
    <col min="26" max="26" width="12.1796875" style="1" customWidth="1"/>
    <col min="27" max="27" width="3.54296875" style="1" customWidth="1"/>
    <col min="28" max="16384" width="12.1796875" style="1"/>
  </cols>
  <sheetData>
    <row r="1" spans="1:27" ht="22.5" customHeight="1" thickTop="1" thickBot="1" x14ac:dyDescent="0.4">
      <c r="A1" s="16" t="s">
        <v>0</v>
      </c>
      <c r="B1" s="17"/>
      <c r="C1" s="17"/>
      <c r="D1" s="17"/>
      <c r="E1" s="18"/>
      <c r="F1" s="4"/>
      <c r="G1" s="16" t="s">
        <v>1</v>
      </c>
      <c r="H1" s="17"/>
      <c r="I1" s="17"/>
      <c r="J1" s="17"/>
      <c r="K1" s="18"/>
      <c r="L1" s="4"/>
      <c r="M1" s="19" t="s">
        <v>2</v>
      </c>
      <c r="N1" s="20"/>
      <c r="O1" s="2"/>
      <c r="R1" s="2"/>
      <c r="S1" s="13" t="s">
        <v>3</v>
      </c>
      <c r="T1" s="7"/>
      <c r="U1" s="2"/>
      <c r="W1" s="2"/>
      <c r="X1" s="14" t="s">
        <v>4</v>
      </c>
      <c r="Y1" s="14"/>
      <c r="Z1" s="14"/>
      <c r="AA1" s="2"/>
    </row>
    <row r="2" spans="1:27" ht="30.75" customHeight="1" thickTop="1" thickBot="1" x14ac:dyDescent="0.4">
      <c r="A2" s="16" t="s">
        <v>5</v>
      </c>
      <c r="B2" s="18"/>
      <c r="C2" s="16" t="s">
        <v>6</v>
      </c>
      <c r="D2" s="18"/>
      <c r="E2" s="10" t="str">
        <f>(COUNTIF(E4:E1000,"P/N not on MR")
 + COUNTIF(E4:E1000,"QTY Mismatch")) &amp; " Issues"</f>
        <v>0 Issues</v>
      </c>
      <c r="F2" s="4"/>
      <c r="G2" s="16" t="s">
        <v>5</v>
      </c>
      <c r="H2" s="18"/>
      <c r="I2" s="16" t="s">
        <v>6</v>
      </c>
      <c r="J2" s="18"/>
      <c r="K2" s="10" t="str">
        <f>(COUNTIF(K4:K1000,"P/N not on LPN")
 + COUNTIF(K4:K1000,"QTY Mismatch")) &amp; " Issues"</f>
        <v>0 Issues</v>
      </c>
      <c r="L2" s="4"/>
      <c r="M2" s="21"/>
      <c r="N2" s="22"/>
      <c r="O2" s="2"/>
      <c r="R2" s="2"/>
      <c r="S2" s="13" t="s">
        <v>7</v>
      </c>
      <c r="T2" s="7" t="s">
        <v>8</v>
      </c>
      <c r="U2" s="2"/>
      <c r="W2" s="2"/>
      <c r="X2" s="14" t="s">
        <v>9</v>
      </c>
      <c r="Y2" s="14"/>
      <c r="Z2" s="14"/>
      <c r="AA2" s="2"/>
    </row>
    <row r="3" spans="1:27" ht="30" customHeight="1" thickTop="1" thickBot="1" x14ac:dyDescent="0.4">
      <c r="A3" s="5" t="s">
        <v>10</v>
      </c>
      <c r="B3" s="5" t="s">
        <v>11</v>
      </c>
      <c r="C3" s="5" t="s">
        <v>12</v>
      </c>
      <c r="D3" s="5" t="s">
        <v>13</v>
      </c>
      <c r="E3" s="9" t="s">
        <v>14</v>
      </c>
      <c r="F3" s="4"/>
      <c r="G3" s="5" t="s">
        <v>10</v>
      </c>
      <c r="H3" s="5" t="s">
        <v>11</v>
      </c>
      <c r="I3" s="5" t="s">
        <v>12</v>
      </c>
      <c r="J3" s="5" t="s">
        <v>13</v>
      </c>
      <c r="K3" s="9" t="s">
        <v>14</v>
      </c>
      <c r="L3" s="4"/>
      <c r="M3" s="5" t="s">
        <v>15</v>
      </c>
      <c r="N3" s="5" t="s">
        <v>12</v>
      </c>
      <c r="O3" s="2"/>
      <c r="R3" s="2"/>
      <c r="S3" s="13" t="s">
        <v>16</v>
      </c>
      <c r="T3" s="8"/>
      <c r="U3" s="2"/>
      <c r="W3" s="2"/>
      <c r="X3" s="14" t="s">
        <v>17</v>
      </c>
      <c r="Y3" s="14"/>
      <c r="Z3" s="14"/>
      <c r="AA3" s="2"/>
    </row>
    <row r="4" spans="1:27" ht="22" thickTop="1" thickBot="1" x14ac:dyDescent="0.4">
      <c r="A4" s="6"/>
      <c r="B4" s="3"/>
      <c r="C4" s="6" t="str">
        <f>IF($A4="","",
   IF(COUNTIF($A$4:A4,$A4)&gt;1,
      "",
      SUMIF($A:$A,$A4,$B:$B)
   )
)</f>
        <v/>
      </c>
      <c r="D4" s="6" t="str">
        <f>IF($A4="","",
   IF(COUNTIF($A$4:A4,$A4)&gt;1,
      "",
      SUMIF($G:$G,$A4,$H:$H)
   )
)</f>
        <v/>
      </c>
      <c r="E4" s="6" t="str">
        <f>IF($A4="","", IF(COUNTIF($A$4:A4,$A4)&gt;1, "", IF(COUNTIF($G:$G,$A4)=0, "P/N not on MR", IF(SUMIF($A:$A,$A4,$B:$B)&lt;&gt;D4, "QTY Mismatch", "" ) ) ) )</f>
        <v/>
      </c>
      <c r="F4" s="2"/>
      <c r="G4" s="6"/>
      <c r="H4" s="3"/>
      <c r="I4" s="6" t="str">
        <f>IF($G4="","",
   IF(COUNTIF($G$4:G4,$G4)&gt;1,
      "",
      SUMIF($A:$A,$G4,$B:$B)
   )
)</f>
        <v/>
      </c>
      <c r="J4" s="6" t="str">
        <f>IF($G4="","",
   IF(COUNTIF($G$4:G4,$G4)&gt;1,
      "",
      SUMIF($G:$G,$G4,$H:$H)
   )
)</f>
        <v/>
      </c>
      <c r="K4" s="6" t="str">
        <f>IF($G4="","", IF(COUNTIF($G$4:G4,$G4)&gt;1, "", IF(COUNTIF($A:$A,$G4)=0, "P/N not on LPN", IF(SUMIF($G:$G,$G4,$H:$H)&lt;&gt;I4, "QTY Mismatch", "" ) ) ) )</f>
        <v/>
      </c>
      <c r="L4" s="2"/>
      <c r="M4" s="6"/>
      <c r="N4" s="3"/>
      <c r="O4" s="2"/>
      <c r="R4" s="2"/>
      <c r="S4" s="13" t="s">
        <v>18</v>
      </c>
      <c r="T4" s="7"/>
      <c r="U4" s="2"/>
      <c r="W4" s="2"/>
      <c r="X4" s="15" t="s">
        <v>19</v>
      </c>
      <c r="Y4" s="15"/>
      <c r="Z4" s="15"/>
      <c r="AA4" s="2"/>
    </row>
    <row r="5" spans="1:27" ht="16.5" customHeight="1" thickTop="1" thickBot="1" x14ac:dyDescent="0.4">
      <c r="A5" s="11"/>
      <c r="B5" s="12"/>
      <c r="C5" s="11" t="str">
        <f>IF($A5="","",
   IF(COUNTIF($A$4:A5,$A5)&gt;1,
      "",
      SUMIF($A:$A,$A5,$B:$B)
   )
)</f>
        <v/>
      </c>
      <c r="D5" s="11" t="str">
        <f>IF($A5="","",
   IF(COUNTIF($A$4:A5,$A5)&gt;1,
      "",
      SUMIF($G:$G,$A5,$H:$H)
   )
)</f>
        <v/>
      </c>
      <c r="E5" s="11" t="str">
        <f>IF($A5="","", IF(COUNTIF($A$4:A5,$A5)&gt;1, "", IF(COUNTIF($G:$G,$A5)=0, "P/N not on MR", IF(SUMIF($A:$A,$A5,$B:$B)&lt;&gt;D5, "QTY Mismatch", "" ) ) ) )</f>
        <v/>
      </c>
      <c r="F5" s="2"/>
      <c r="G5" s="11"/>
      <c r="H5" s="12"/>
      <c r="I5" s="11" t="str">
        <f>IF($G5="","",
   IF(COUNTIF($G$4:G5,$G5)&gt;1,
      "",
      SUMIF($A:$A,$G5,$B:$B)
   )
)</f>
        <v/>
      </c>
      <c r="J5" s="11" t="str">
        <f>IF($G5="","",
   IF(COUNTIF($G$4:G5,$G5)&gt;1,
      "",
      SUMIF($G:$G,$G5,$H:$H)
   )
)</f>
        <v/>
      </c>
      <c r="K5" s="11" t="str">
        <f>IF($G5="","", IF(COUNTIF($G$4:G5,$G5)&gt;1, "", IF(COUNTIF($A:$A,$G5)=0, "P/N not on LPN", IF(SUMIF($G:$G,$G5,$H:$H)&lt;&gt;I5, "QTY Mismatch", "" ) ) ) )</f>
        <v/>
      </c>
      <c r="L5" s="2"/>
      <c r="M5" s="11"/>
      <c r="N5" s="12"/>
      <c r="O5" s="2"/>
      <c r="R5" s="2"/>
      <c r="S5" s="2"/>
      <c r="T5" s="2"/>
      <c r="U5" s="2"/>
      <c r="W5" s="2"/>
      <c r="X5" s="15"/>
      <c r="Y5" s="15"/>
      <c r="Z5" s="15"/>
      <c r="AA5" s="2"/>
    </row>
    <row r="6" spans="1:27" ht="15.5" thickTop="1" thickBot="1" x14ac:dyDescent="0.4">
      <c r="A6" s="6"/>
      <c r="B6" s="3"/>
      <c r="C6" s="6" t="str">
        <f>IF($A6="","",
   IF(COUNTIF($A$4:A6,$A6)&gt;1,
      "",
      SUMIF($A:$A,$A6,$B:$B)
   )
)</f>
        <v/>
      </c>
      <c r="D6" s="6" t="str">
        <f>IF($A6="","",
   IF(COUNTIF($A$4:A6,$A6)&gt;1,
      "",
      SUMIF($G:$G,$A6,$H:$H)
   )
)</f>
        <v/>
      </c>
      <c r="E6" s="6" t="str">
        <f>IF($A6="","", IF(COUNTIF($A$4:A6,$A6)&gt;1, "", IF(COUNTIF($G:$G,$A6)=0, "P/N not on MR", IF(SUMIF($A:$A,$A6,$B:$B)&lt;&gt;D6, "QTY Mismatch", "" ) ) ) )</f>
        <v/>
      </c>
      <c r="F6" s="2"/>
      <c r="G6" s="6"/>
      <c r="H6" s="3"/>
      <c r="I6" s="6" t="str">
        <f>IF($G6="","",
   IF(COUNTIF($G$4:G6,$G6)&gt;1,
      "",
      SUMIF($A:$A,$G6,$B:$B)
   )
)</f>
        <v/>
      </c>
      <c r="J6" s="6" t="str">
        <f>IF($G6="","",
   IF(COUNTIF($G$4:G6,$G6)&gt;1,
      "",
      SUMIF($G:$G,$G6,$H:$H)
   )
)</f>
        <v/>
      </c>
      <c r="K6" s="6" t="str">
        <f>IF($G6="","", IF(COUNTIF($G$4:G6,$G6)&gt;1, "", IF(COUNTIF($A:$A,$G6)=0, "P/N not on LPN", IF(SUMIF($G:$G,$G6,$H:$H)&lt;&gt;I6, "QTY Mismatch", "" ) ) ) )</f>
        <v/>
      </c>
      <c r="L6" s="2"/>
      <c r="M6" s="6"/>
      <c r="N6" s="3"/>
      <c r="O6" s="2"/>
      <c r="W6" s="2"/>
      <c r="X6" s="15"/>
      <c r="Y6" s="15"/>
      <c r="Z6" s="15"/>
      <c r="AA6" s="2"/>
    </row>
    <row r="7" spans="1:27" ht="15.5" thickTop="1" thickBot="1" x14ac:dyDescent="0.4">
      <c r="A7" s="11"/>
      <c r="B7" s="12"/>
      <c r="C7" s="11" t="str">
        <f>IF($A7="","",
   IF(COUNTIF($A$4:A7,$A7)&gt;1,
      "",
      SUMIF($A:$A,$A7,$B:$B)
   )
)</f>
        <v/>
      </c>
      <c r="D7" s="11" t="str">
        <f>IF($A7="","",
   IF(COUNTIF($A$4:A7,$A7)&gt;1,
      "",
      SUMIF($G:$G,$A7,$H:$H)
   )
)</f>
        <v/>
      </c>
      <c r="E7" s="11" t="str">
        <f>IF($A7="","", IF(COUNTIF($A$4:A7,$A7)&gt;1, "", IF(COUNTIF($G:$G,$A7)=0, "P/N not on MR", IF(SUMIF($A:$A,$A7,$B:$B)&lt;&gt;D7, "QTY Mismatch", "" ) ) ) )</f>
        <v/>
      </c>
      <c r="F7" s="2"/>
      <c r="G7" s="11"/>
      <c r="H7" s="12"/>
      <c r="I7" s="11" t="str">
        <f>IF($G7="","",
   IF(COUNTIF($G$4:G7,$G7)&gt;1,
      "",
      SUMIF($A:$A,$G7,$B:$B)
   )
)</f>
        <v/>
      </c>
      <c r="J7" s="11" t="str">
        <f>IF($G7="","",
   IF(COUNTIF($G$4:G7,$G7)&gt;1,
      "",
      SUMIF($G:$G,$G7,$H:$H)
   )
)</f>
        <v/>
      </c>
      <c r="K7" s="11" t="str">
        <f>IF($G7="","", IF(COUNTIF($G$4:G7,$G7)&gt;1, "", IF(COUNTIF($A:$A,$G7)=0, "P/N not on LPN", IF(SUMIF($G:$G,$G7,$H:$H)&lt;&gt;I7, "QTY Mismatch", "" ) ) ) )</f>
        <v/>
      </c>
      <c r="L7" s="2"/>
      <c r="M7" s="11"/>
      <c r="N7" s="12"/>
      <c r="O7" s="2"/>
      <c r="W7" s="2"/>
      <c r="X7" s="2"/>
      <c r="Y7" s="2"/>
      <c r="Z7" s="2"/>
      <c r="AA7" s="2"/>
    </row>
    <row r="8" spans="1:27" ht="15.5" thickTop="1" thickBot="1" x14ac:dyDescent="0.4">
      <c r="A8" s="6"/>
      <c r="B8" s="3"/>
      <c r="C8" s="6" t="str">
        <f>IF($A8="","",
   IF(COUNTIF($A$4:A8,$A8)&gt;1,
      "",
      SUMIF($A:$A,$A8,$B:$B)
   )
)</f>
        <v/>
      </c>
      <c r="D8" s="6" t="str">
        <f>IF($A8="","",
   IF(COUNTIF($A$4:A8,$A8)&gt;1,
      "",
      SUMIF($G:$G,$A8,$H:$H)
   )
)</f>
        <v/>
      </c>
      <c r="E8" s="6" t="str">
        <f>IF($A8="","", IF(COUNTIF($A$4:A8,$A8)&gt;1, "", IF(COUNTIF($G:$G,$A8)=0, "P/N not on MR", IF(SUMIF($A:$A,$A8,$B:$B)&lt;&gt;D8, "QTY Mismatch", "" ) ) ) )</f>
        <v/>
      </c>
      <c r="F8" s="2"/>
      <c r="G8" s="6"/>
      <c r="H8" s="3"/>
      <c r="I8" s="6" t="str">
        <f>IF($G8="","",
   IF(COUNTIF($G$4:G8,$G8)&gt;1,
      "",
      SUMIF($A:$A,$G8,$B:$B)
   )
)</f>
        <v/>
      </c>
      <c r="J8" s="6" t="str">
        <f>IF($G8="","",
   IF(COUNTIF($G$4:G8,$G8)&gt;1,
      "",
      SUMIF($G:$G,$G8,$H:$H)
   )
)</f>
        <v/>
      </c>
      <c r="K8" s="6" t="str">
        <f>IF($G8="","", IF(COUNTIF($G$4:G8,$G8)&gt;1, "", IF(COUNTIF($A:$A,$G8)=0, "P/N not on LPN", IF(SUMIF($G:$G,$G8,$H:$H)&lt;&gt;I8, "QTY Mismatch", "" ) ) ) )</f>
        <v/>
      </c>
      <c r="L8" s="2"/>
      <c r="M8" s="6"/>
      <c r="N8" s="3"/>
      <c r="O8" s="2"/>
    </row>
    <row r="9" spans="1:27" ht="15.5" thickTop="1" thickBot="1" x14ac:dyDescent="0.4">
      <c r="A9" s="11"/>
      <c r="B9" s="12"/>
      <c r="C9" s="11" t="str">
        <f>IF($A9="","",
   IF(COUNTIF($A$4:A9,$A9)&gt;1,
      "",
      SUMIF($A:$A,$A9,$B:$B)
   )
)</f>
        <v/>
      </c>
      <c r="D9" s="11" t="str">
        <f>IF($A9="","",
   IF(COUNTIF($A$4:A9,$A9)&gt;1,
      "",
      SUMIF($G:$G,$A9,$H:$H)
   )
)</f>
        <v/>
      </c>
      <c r="E9" s="11" t="str">
        <f>IF($A9="","", IF(COUNTIF($A$4:A9,$A9)&gt;1, "", IF(COUNTIF($G:$G,$A9)=0, "P/N not on MR", IF(SUMIF($A:$A,$A9,$B:$B)&lt;&gt;D9, "QTY Mismatch", "" ) ) ) )</f>
        <v/>
      </c>
      <c r="F9" s="2"/>
      <c r="G9" s="11"/>
      <c r="H9" s="12"/>
      <c r="I9" s="11" t="str">
        <f>IF($G9="","",
   IF(COUNTIF($G$4:G9,$G9)&gt;1,
      "",
      SUMIF($A:$A,$G9,$B:$B)
   )
)</f>
        <v/>
      </c>
      <c r="J9" s="11" t="str">
        <f>IF($G9="","",
   IF(COUNTIF($G$4:G9,$G9)&gt;1,
      "",
      SUMIF($G:$G,$G9,$H:$H)
   )
)</f>
        <v/>
      </c>
      <c r="K9" s="11" t="str">
        <f>IF($G9="","", IF(COUNTIF($G$4:G9,$G9)&gt;1, "", IF(COUNTIF($A:$A,$G9)=0, "P/N not on LPN", IF(SUMIF($G:$G,$G9,$H:$H)&lt;&gt;I9, "QTY Mismatch", "" ) ) ) )</f>
        <v/>
      </c>
      <c r="L9" s="2"/>
      <c r="M9" s="11"/>
      <c r="N9" s="12"/>
      <c r="O9" s="2"/>
    </row>
    <row r="10" spans="1:27" ht="15.5" thickTop="1" thickBot="1" x14ac:dyDescent="0.4">
      <c r="A10" s="6"/>
      <c r="B10" s="3"/>
      <c r="C10" s="6" t="str">
        <f>IF($A10="","",
   IF(COUNTIF($A$4:A10,$A10)&gt;1,
      "",
      SUMIF($A:$A,$A10,$B:$B)
   )
)</f>
        <v/>
      </c>
      <c r="D10" s="6" t="str">
        <f>IF($A10="","",
   IF(COUNTIF($A$4:A10,$A10)&gt;1,
      "",
      SUMIF($G:$G,$A10,$H:$H)
   )
)</f>
        <v/>
      </c>
      <c r="E10" s="6" t="str">
        <f>IF($A10="","", IF(COUNTIF($A$4:A10,$A10)&gt;1, "", IF(COUNTIF($G:$G,$A10)=0, "P/N not on MR", IF(SUMIF($A:$A,$A10,$B:$B)&lt;&gt;D10, "QTY Mismatch", "" ) ) ) )</f>
        <v/>
      </c>
      <c r="F10" s="2"/>
      <c r="G10" s="6"/>
      <c r="H10" s="3"/>
      <c r="I10" s="6" t="str">
        <f>IF($G10="","",
   IF(COUNTIF($G$4:G10,$G10)&gt;1,
      "",
      SUMIF($A:$A,$G10,$B:$B)
   )
)</f>
        <v/>
      </c>
      <c r="J10" s="6" t="str">
        <f>IF($G10="","",
   IF(COUNTIF($G$4:G10,$G10)&gt;1,
      "",
      SUMIF($G:$G,$G10,$H:$H)
   )
)</f>
        <v/>
      </c>
      <c r="K10" s="6" t="str">
        <f>IF($G10="","", IF(COUNTIF($G$4:G10,$G10)&gt;1, "", IF(COUNTIF($A:$A,$G10)=0, "P/N not on LPN", IF(SUMIF($G:$G,$G10,$H:$H)&lt;&gt;I10, "QTY Mismatch", "" ) ) ) )</f>
        <v/>
      </c>
      <c r="L10" s="2"/>
      <c r="M10" s="6"/>
      <c r="N10" s="3"/>
      <c r="O10" s="2"/>
    </row>
    <row r="11" spans="1:27" ht="15.5" thickTop="1" thickBot="1" x14ac:dyDescent="0.4">
      <c r="A11" s="11"/>
      <c r="B11" s="12"/>
      <c r="C11" s="11" t="str">
        <f>IF($A11="","",
   IF(COUNTIF($A$4:A11,$A11)&gt;1,
      "",
      SUMIF($A:$A,$A11,$B:$B)
   )
)</f>
        <v/>
      </c>
      <c r="D11" s="11" t="str">
        <f>IF($A11="","",
   IF(COUNTIF($A$4:A11,$A11)&gt;1,
      "",
      SUMIF($G:$G,$A11,$H:$H)
   )
)</f>
        <v/>
      </c>
      <c r="E11" s="11" t="str">
        <f>IF($A11="","", IF(COUNTIF($A$4:A11,$A11)&gt;1, "", IF(COUNTIF($G:$G,$A11)=0, "P/N not on MR", IF(SUMIF($A:$A,$A11,$B:$B)&lt;&gt;D11, "QTY Mismatch", "" ) ) ) )</f>
        <v/>
      </c>
      <c r="F11" s="2"/>
      <c r="G11" s="11"/>
      <c r="H11" s="12"/>
      <c r="I11" s="11" t="str">
        <f>IF($G11="","",
   IF(COUNTIF($G$4:G11,$G11)&gt;1,
      "",
      SUMIF($A:$A,$G11,$B:$B)
   )
)</f>
        <v/>
      </c>
      <c r="J11" s="11" t="str">
        <f>IF($G11="","",
   IF(COUNTIF($G$4:G11,$G11)&gt;1,
      "",
      SUMIF($G:$G,$G11,$H:$H)
   )
)</f>
        <v/>
      </c>
      <c r="K11" s="11" t="str">
        <f>IF($G11="","", IF(COUNTIF($G$4:G11,$G11)&gt;1, "", IF(COUNTIF($A:$A,$G11)=0, "P/N not on LPN", IF(SUMIF($G:$G,$G11,$H:$H)&lt;&gt;I11, "QTY Mismatch", "" ) ) ) )</f>
        <v/>
      </c>
      <c r="L11" s="2"/>
      <c r="M11" s="11"/>
      <c r="N11" s="12"/>
      <c r="O11" s="2"/>
    </row>
    <row r="12" spans="1:27" ht="15.5" thickTop="1" thickBot="1" x14ac:dyDescent="0.4">
      <c r="A12" s="6"/>
      <c r="B12" s="3"/>
      <c r="C12" s="6" t="str">
        <f>IF($A12="","",
   IF(COUNTIF($A$4:A12,$A12)&gt;1,
      "",
      SUMIF($A:$A,$A12,$B:$B)
   )
)</f>
        <v/>
      </c>
      <c r="D12" s="6" t="str">
        <f>IF($A12="","",
   IF(COUNTIF($A$4:A12,$A12)&gt;1,
      "",
      SUMIF($G:$G,$A12,$H:$H)
   )
)</f>
        <v/>
      </c>
      <c r="E12" s="6" t="str">
        <f>IF($A12="","", IF(COUNTIF($A$4:A12,$A12)&gt;1, "", IF(COUNTIF($G:$G,$A12)=0, "P/N not on MR", IF(SUMIF($A:$A,$A12,$B:$B)&lt;&gt;D12, "QTY Mismatch", "" ) ) ) )</f>
        <v/>
      </c>
      <c r="F12" s="2"/>
      <c r="G12" s="6"/>
      <c r="H12" s="3"/>
      <c r="I12" s="6" t="str">
        <f>IF($G12="","",
   IF(COUNTIF($G$4:G12,$G12)&gt;1,
      "",
      SUMIF($A:$A,$G12,$B:$B)
   )
)</f>
        <v/>
      </c>
      <c r="J12" s="6" t="str">
        <f>IF($G12="","",
   IF(COUNTIF($G$4:G12,$G12)&gt;1,
      "",
      SUMIF($G:$G,$G12,$H:$H)
   )
)</f>
        <v/>
      </c>
      <c r="K12" s="6" t="str">
        <f>IF($G12="","", IF(COUNTIF($G$4:G12,$G12)&gt;1, "", IF(COUNTIF($A:$A,$G12)=0, "P/N not on LPN", IF(SUMIF($G:$G,$G12,$H:$H)&lt;&gt;I12, "QTY Mismatch", "" ) ) ) )</f>
        <v/>
      </c>
      <c r="L12" s="2"/>
      <c r="M12" s="6"/>
      <c r="N12" s="3"/>
      <c r="O12" s="2"/>
    </row>
    <row r="13" spans="1:27" ht="15.5" thickTop="1" thickBot="1" x14ac:dyDescent="0.4">
      <c r="A13" s="11"/>
      <c r="B13" s="12"/>
      <c r="C13" s="11" t="str">
        <f>IF($A13="","",
   IF(COUNTIF($A$4:A13,$A13)&gt;1,
      "",
      SUMIF($A:$A,$A13,$B:$B)
   )
)</f>
        <v/>
      </c>
      <c r="D13" s="11" t="str">
        <f>IF($A13="","",
   IF(COUNTIF($A$4:A13,$A13)&gt;1,
      "",
      SUMIF($G:$G,$A13,$H:$H)
   )
)</f>
        <v/>
      </c>
      <c r="E13" s="11" t="str">
        <f>IF($A13="","", IF(COUNTIF($A$4:A13,$A13)&gt;1, "", IF(COUNTIF($G:$G,$A13)=0, "P/N not on MR", IF(SUMIF($A:$A,$A13,$B:$B)&lt;&gt;D13, "QTY Mismatch", "" ) ) ) )</f>
        <v/>
      </c>
      <c r="F13" s="2"/>
      <c r="G13" s="11"/>
      <c r="H13" s="12"/>
      <c r="I13" s="11" t="str">
        <f>IF($G13="","",
   IF(COUNTIF($G$4:G13,$G13)&gt;1,
      "",
      SUMIF($A:$A,$G13,$B:$B)
   )
)</f>
        <v/>
      </c>
      <c r="J13" s="11" t="str">
        <f>IF($G13="","",
   IF(COUNTIF($G$4:G13,$G13)&gt;1,
      "",
      SUMIF($G:$G,$G13,$H:$H)
   )
)</f>
        <v/>
      </c>
      <c r="K13" s="11" t="str">
        <f>IF($G13="","", IF(COUNTIF($G$4:G13,$G13)&gt;1, "", IF(COUNTIF($A:$A,$G13)=0, "P/N not on LPN", IF(SUMIF($G:$G,$G13,$H:$H)&lt;&gt;I13, "QTY Mismatch", "" ) ) ) )</f>
        <v/>
      </c>
      <c r="L13" s="2"/>
      <c r="M13" s="11"/>
      <c r="N13" s="12"/>
      <c r="O13" s="2"/>
    </row>
    <row r="14" spans="1:27" ht="15.5" thickTop="1" thickBot="1" x14ac:dyDescent="0.4">
      <c r="A14" s="6"/>
      <c r="B14" s="3"/>
      <c r="C14" s="6" t="str">
        <f>IF($A14="","",
   IF(COUNTIF($A$4:A14,$A14)&gt;1,
      "",
      SUMIF($A:$A,$A14,$B:$B)
   )
)</f>
        <v/>
      </c>
      <c r="D14" s="6" t="str">
        <f>IF($A14="","",
   IF(COUNTIF($A$4:A14,$A14)&gt;1,
      "",
      SUMIF($G:$G,$A14,$H:$H)
   )
)</f>
        <v/>
      </c>
      <c r="E14" s="6" t="str">
        <f>IF($A14="","", IF(COUNTIF($A$4:A14,$A14)&gt;1, "", IF(COUNTIF($G:$G,$A14)=0, "P/N not on MR", IF(SUMIF($A:$A,$A14,$B:$B)&lt;&gt;D14, "QTY Mismatch", "" ) ) ) )</f>
        <v/>
      </c>
      <c r="F14" s="2"/>
      <c r="G14" s="6"/>
      <c r="H14" s="3"/>
      <c r="I14" s="6" t="str">
        <f>IF($G14="","",
   IF(COUNTIF($G$4:G14,$G14)&gt;1,
      "",
      SUMIF($A:$A,$G14,$B:$B)
   )
)</f>
        <v/>
      </c>
      <c r="J14" s="6" t="str">
        <f>IF($G14="","",
   IF(COUNTIF($G$4:G14,$G14)&gt;1,
      "",
      SUMIF($G:$G,$G14,$H:$H)
   )
)</f>
        <v/>
      </c>
      <c r="K14" s="6" t="str">
        <f>IF($G14="","", IF(COUNTIF($G$4:G14,$G14)&gt;1, "", IF(COUNTIF($A:$A,$G14)=0, "P/N not on LPN", IF(SUMIF($G:$G,$G14,$H:$H)&lt;&gt;I14, "QTY Mismatch", "" ) ) ) )</f>
        <v/>
      </c>
      <c r="L14" s="2"/>
      <c r="M14" s="6"/>
      <c r="N14" s="3"/>
      <c r="O14" s="2"/>
    </row>
    <row r="15" spans="1:27" ht="15.5" thickTop="1" thickBot="1" x14ac:dyDescent="0.4">
      <c r="A15" s="11"/>
      <c r="B15" s="12"/>
      <c r="C15" s="11" t="str">
        <f>IF($A15="","",
   IF(COUNTIF($A$4:A15,$A15)&gt;1,
      "",
      SUMIF($A:$A,$A15,$B:$B)
   )
)</f>
        <v/>
      </c>
      <c r="D15" s="11" t="str">
        <f>IF($A15="","",
   IF(COUNTIF($A$4:A15,$A15)&gt;1,
      "",
      SUMIF($G:$G,$A15,$H:$H)
   )
)</f>
        <v/>
      </c>
      <c r="E15" s="11" t="str">
        <f>IF($A15="","", IF(COUNTIF($A$4:A15,$A15)&gt;1, "", IF(COUNTIF($G:$G,$A15)=0, "P/N not on MR", IF(SUMIF($A:$A,$A15,$B:$B)&lt;&gt;D15, "QTY Mismatch", "" ) ) ) )</f>
        <v/>
      </c>
      <c r="F15" s="2"/>
      <c r="G15" s="11"/>
      <c r="H15" s="12"/>
      <c r="I15" s="11" t="str">
        <f>IF($G15="","",
   IF(COUNTIF($G$4:G15,$G15)&gt;1,
      "",
      SUMIF($A:$A,$G15,$B:$B)
   )
)</f>
        <v/>
      </c>
      <c r="J15" s="11" t="str">
        <f>IF($G15="","",
   IF(COUNTIF($G$4:G15,$G15)&gt;1,
      "",
      SUMIF($G:$G,$G15,$H:$H)
   )
)</f>
        <v/>
      </c>
      <c r="K15" s="11" t="str">
        <f>IF($G15="","", IF(COUNTIF($G$4:G15,$G15)&gt;1, "", IF(COUNTIF($A:$A,$G15)=0, "P/N not on LPN", IF(SUMIF($G:$G,$G15,$H:$H)&lt;&gt;I15, "QTY Mismatch", "" ) ) ) )</f>
        <v/>
      </c>
      <c r="L15" s="2"/>
      <c r="M15" s="11"/>
      <c r="N15" s="12"/>
      <c r="O15" s="2"/>
    </row>
    <row r="16" spans="1:27" ht="15.5" thickTop="1" thickBot="1" x14ac:dyDescent="0.4">
      <c r="A16" s="6"/>
      <c r="B16" s="3"/>
      <c r="C16" s="6" t="str">
        <f>IF($A16="","",
   IF(COUNTIF($A$4:A16,$A16)&gt;1,
      "",
      SUMIF($A:$A,$A16,$B:$B)
   )
)</f>
        <v/>
      </c>
      <c r="D16" s="6" t="str">
        <f>IF($A16="","",
   IF(COUNTIF($A$4:A16,$A16)&gt;1,
      "",
      SUMIF($G:$G,$A16,$H:$H)
   )
)</f>
        <v/>
      </c>
      <c r="E16" s="6" t="str">
        <f>IF($A16="","", IF(COUNTIF($A$4:A16,$A16)&gt;1, "", IF(COUNTIF($G:$G,$A16)=0, "P/N not on MR", IF(SUMIF($A:$A,$A16,$B:$B)&lt;&gt;D16, "QTY Mismatch", "" ) ) ) )</f>
        <v/>
      </c>
      <c r="F16" s="2"/>
      <c r="G16" s="6"/>
      <c r="H16" s="3"/>
      <c r="I16" s="6" t="str">
        <f>IF($G16="","",
   IF(COUNTIF($G$4:G16,$G16)&gt;1,
      "",
      SUMIF($A:$A,$G16,$B:$B)
   )
)</f>
        <v/>
      </c>
      <c r="J16" s="6" t="str">
        <f>IF($G16="","",
   IF(COUNTIF($G$4:G16,$G16)&gt;1,
      "",
      SUMIF($G:$G,$G16,$H:$H)
   )
)</f>
        <v/>
      </c>
      <c r="K16" s="6" t="str">
        <f>IF($G16="","", IF(COUNTIF($G$4:G16,$G16)&gt;1, "", IF(COUNTIF($A:$A,$G16)=0, "P/N not on LPN", IF(SUMIF($G:$G,$G16,$H:$H)&lt;&gt;I16, "QTY Mismatch", "" ) ) ) )</f>
        <v/>
      </c>
      <c r="L16" s="2"/>
      <c r="M16" s="6"/>
      <c r="N16" s="3"/>
      <c r="O16" s="2"/>
    </row>
    <row r="17" spans="1:15" ht="15.5" thickTop="1" thickBot="1" x14ac:dyDescent="0.4">
      <c r="A17" s="11"/>
      <c r="B17" s="12"/>
      <c r="C17" s="11" t="str">
        <f>IF($A17="","",
   IF(COUNTIF($A$4:A17,$A17)&gt;1,
      "",
      SUMIF($A:$A,$A17,$B:$B)
   )
)</f>
        <v/>
      </c>
      <c r="D17" s="11" t="str">
        <f>IF($A17="","",
   IF(COUNTIF($A$4:A17,$A17)&gt;1,
      "",
      SUMIF($G:$G,$A17,$H:$H)
   )
)</f>
        <v/>
      </c>
      <c r="E17" s="11" t="str">
        <f>IF($A17="","", IF(COUNTIF($A$4:A17,$A17)&gt;1, "", IF(COUNTIF($G:$G,$A17)=0, "P/N not on MR", IF(SUMIF($A:$A,$A17,$B:$B)&lt;&gt;D17, "QTY Mismatch", "" ) ) ) )</f>
        <v/>
      </c>
      <c r="F17" s="2"/>
      <c r="G17" s="11"/>
      <c r="H17" s="12"/>
      <c r="I17" s="11" t="str">
        <f>IF($G17="","",
   IF(COUNTIF($G$4:G17,$G17)&gt;1,
      "",
      SUMIF($A:$A,$G17,$B:$B)
   )
)</f>
        <v/>
      </c>
      <c r="J17" s="11" t="str">
        <f>IF($G17="","",
   IF(COUNTIF($G$4:G17,$G17)&gt;1,
      "",
      SUMIF($G:$G,$G17,$H:$H)
   )
)</f>
        <v/>
      </c>
      <c r="K17" s="11" t="str">
        <f>IF($G17="","", IF(COUNTIF($G$4:G17,$G17)&gt;1, "", IF(COUNTIF($A:$A,$G17)=0, "P/N not on LPN", IF(SUMIF($G:$G,$G17,$H:$H)&lt;&gt;I17, "QTY Mismatch", "" ) ) ) )</f>
        <v/>
      </c>
      <c r="L17" s="2"/>
      <c r="M17" s="11"/>
      <c r="N17" s="12"/>
      <c r="O17" s="2"/>
    </row>
    <row r="18" spans="1:15" ht="15.5" thickTop="1" thickBot="1" x14ac:dyDescent="0.4">
      <c r="A18" s="6"/>
      <c r="B18" s="3"/>
      <c r="C18" s="6" t="str">
        <f>IF($A18="","",
   IF(COUNTIF($A$4:A18,$A18)&gt;1,
      "",
      SUMIF($A:$A,$A18,$B:$B)
   )
)</f>
        <v/>
      </c>
      <c r="D18" s="6" t="str">
        <f>IF($A18="","",
   IF(COUNTIF($A$4:A18,$A18)&gt;1,
      "",
      SUMIF($G:$G,$A18,$H:$H)
   )
)</f>
        <v/>
      </c>
      <c r="E18" s="6" t="str">
        <f>IF($A18="","", IF(COUNTIF($A$4:A18,$A18)&gt;1, "", IF(COUNTIF($G:$G,$A18)=0, "P/N not on MR", IF(SUMIF($A:$A,$A18,$B:$B)&lt;&gt;D18, "QTY Mismatch", "" ) ) ) )</f>
        <v/>
      </c>
      <c r="F18" s="2"/>
      <c r="G18" s="6"/>
      <c r="H18" s="3"/>
      <c r="I18" s="6" t="str">
        <f>IF($G18="","",
   IF(COUNTIF($G$4:G18,$G18)&gt;1,
      "",
      SUMIF($A:$A,$G18,$B:$B)
   )
)</f>
        <v/>
      </c>
      <c r="J18" s="6" t="str">
        <f>IF($G18="","",
   IF(COUNTIF($G$4:G18,$G18)&gt;1,
      "",
      SUMIF($G:$G,$G18,$H:$H)
   )
)</f>
        <v/>
      </c>
      <c r="K18" s="6" t="str">
        <f>IF($G18="","", IF(COUNTIF($G$4:G18,$G18)&gt;1, "", IF(COUNTIF($A:$A,$G18)=0, "P/N not on LPN", IF(SUMIF($G:$G,$G18,$H:$H)&lt;&gt;I18, "QTY Mismatch", "" ) ) ) )</f>
        <v/>
      </c>
      <c r="L18" s="2"/>
      <c r="M18" s="6"/>
      <c r="N18" s="3"/>
      <c r="O18" s="2"/>
    </row>
    <row r="19" spans="1:15" ht="15.5" thickTop="1" thickBot="1" x14ac:dyDescent="0.4">
      <c r="A19" s="11"/>
      <c r="B19" s="12"/>
      <c r="C19" s="11" t="str">
        <f>IF($A19="","",
   IF(COUNTIF($A$4:A19,$A19)&gt;1,
      "",
      SUMIF($A:$A,$A19,$B:$B)
   )
)</f>
        <v/>
      </c>
      <c r="D19" s="11" t="str">
        <f>IF($A19="","",
   IF(COUNTIF($A$4:A19,$A19)&gt;1,
      "",
      SUMIF($G:$G,$A19,$H:$H)
   )
)</f>
        <v/>
      </c>
      <c r="E19" s="11" t="str">
        <f>IF($A19="","", IF(COUNTIF($A$4:A19,$A19)&gt;1, "", IF(COUNTIF($G:$G,$A19)=0, "P/N not on MR", IF(SUMIF($A:$A,$A19,$B:$B)&lt;&gt;D19, "QTY Mismatch", "" ) ) ) )</f>
        <v/>
      </c>
      <c r="F19" s="2"/>
      <c r="G19" s="11"/>
      <c r="H19" s="12"/>
      <c r="I19" s="11" t="str">
        <f>IF($G19="","",
   IF(COUNTIF($G$4:G19,$G19)&gt;1,
      "",
      SUMIF($A:$A,$G19,$B:$B)
   )
)</f>
        <v/>
      </c>
      <c r="J19" s="11" t="str">
        <f>IF($G19="","",
   IF(COUNTIF($G$4:G19,$G19)&gt;1,
      "",
      SUMIF($G:$G,$G19,$H:$H)
   )
)</f>
        <v/>
      </c>
      <c r="K19" s="11" t="str">
        <f>IF($G19="","", IF(COUNTIF($G$4:G19,$G19)&gt;1, "", IF(COUNTIF($A:$A,$G19)=0, "P/N not on LPN", IF(SUMIF($G:$G,$G19,$H:$H)&lt;&gt;I19, "QTY Mismatch", "" ) ) ) )</f>
        <v/>
      </c>
      <c r="L19" s="2"/>
      <c r="M19" s="11"/>
      <c r="N19" s="12"/>
      <c r="O19" s="2"/>
    </row>
    <row r="20" spans="1:15" ht="15.5" thickTop="1" thickBot="1" x14ac:dyDescent="0.4">
      <c r="A20" s="6"/>
      <c r="B20" s="3"/>
      <c r="C20" s="6" t="str">
        <f>IF($A20="","",
   IF(COUNTIF($A$4:A20,$A20)&gt;1,
      "",
      SUMIF($A:$A,$A20,$B:$B)
   )
)</f>
        <v/>
      </c>
      <c r="D20" s="6" t="str">
        <f>IF($A20="","",
   IF(COUNTIF($A$4:A20,$A20)&gt;1,
      "",
      SUMIF($G:$G,$A20,$H:$H)
   )
)</f>
        <v/>
      </c>
      <c r="E20" s="6" t="str">
        <f>IF($A20="","", IF(COUNTIF($A$4:A20,$A20)&gt;1, "", IF(COUNTIF($G:$G,$A20)=0, "P/N not on MR", IF(SUMIF($A:$A,$A20,$B:$B)&lt;&gt;D20, "QTY Mismatch", "" ) ) ) )</f>
        <v/>
      </c>
      <c r="F20" s="2"/>
      <c r="G20" s="6"/>
      <c r="H20" s="3"/>
      <c r="I20" s="6" t="str">
        <f>IF($G20="","",
   IF(COUNTIF($G$4:G20,$G20)&gt;1,
      "",
      SUMIF($A:$A,$G20,$B:$B)
   )
)</f>
        <v/>
      </c>
      <c r="J20" s="6" t="str">
        <f>IF($G20="","",
   IF(COUNTIF($G$4:G20,$G20)&gt;1,
      "",
      SUMIF($G:$G,$G20,$H:$H)
   )
)</f>
        <v/>
      </c>
      <c r="K20" s="6" t="str">
        <f>IF($G20="","", IF(COUNTIF($G$4:G20,$G20)&gt;1, "", IF(COUNTIF($A:$A,$G20)=0, "P/N not on LPN", IF(SUMIF($G:$G,$G20,$H:$H)&lt;&gt;I20, "QTY Mismatch", "" ) ) ) )</f>
        <v/>
      </c>
      <c r="L20" s="2"/>
      <c r="M20" s="6"/>
      <c r="N20" s="3"/>
      <c r="O20" s="2"/>
    </row>
    <row r="21" spans="1:15" ht="15.5" thickTop="1" thickBot="1" x14ac:dyDescent="0.4">
      <c r="A21" s="11"/>
      <c r="B21" s="12"/>
      <c r="C21" s="11" t="str">
        <f>IF($A21="","",
   IF(COUNTIF($A$4:A21,$A21)&gt;1,
      "",
      SUMIF($A:$A,$A21,$B:$B)
   )
)</f>
        <v/>
      </c>
      <c r="D21" s="11" t="str">
        <f>IF($A21="","",
   IF(COUNTIF($A$4:A21,$A21)&gt;1,
      "",
      SUMIF($G:$G,$A21,$H:$H)
   )
)</f>
        <v/>
      </c>
      <c r="E21" s="11" t="str">
        <f>IF($A21="","", IF(COUNTIF($A$4:A21,$A21)&gt;1, "", IF(COUNTIF($G:$G,$A21)=0, "P/N not on MR", IF(SUMIF($A:$A,$A21,$B:$B)&lt;&gt;D21, "QTY Mismatch", "" ) ) ) )</f>
        <v/>
      </c>
      <c r="F21" s="2"/>
      <c r="G21" s="11"/>
      <c r="H21" s="12"/>
      <c r="I21" s="11" t="str">
        <f>IF($G21="","",
   IF(COUNTIF($G$4:G21,$G21)&gt;1,
      "",
      SUMIF($A:$A,$G21,$B:$B)
   )
)</f>
        <v/>
      </c>
      <c r="J21" s="11" t="str">
        <f>IF($G21="","",
   IF(COUNTIF($G$4:G21,$G21)&gt;1,
      "",
      SUMIF($G:$G,$G21,$H:$H)
   )
)</f>
        <v/>
      </c>
      <c r="K21" s="11" t="str">
        <f>IF($G21="","", IF(COUNTIF($G$4:G21,$G21)&gt;1, "", IF(COUNTIF($A:$A,$G21)=0, "P/N not on LPN", IF(SUMIF($G:$G,$G21,$H:$H)&lt;&gt;I21, "QTY Mismatch", "" ) ) ) )</f>
        <v/>
      </c>
      <c r="L21" s="2"/>
      <c r="M21" s="11"/>
      <c r="N21" s="12"/>
      <c r="O21" s="2"/>
    </row>
    <row r="22" spans="1:15" ht="15.5" thickTop="1" thickBot="1" x14ac:dyDescent="0.4">
      <c r="A22" s="6"/>
      <c r="B22" s="3"/>
      <c r="C22" s="6" t="str">
        <f>IF($A22="","",
   IF(COUNTIF($A$4:A22,$A22)&gt;1,
      "",
      SUMIF($A:$A,$A22,$B:$B)
   )
)</f>
        <v/>
      </c>
      <c r="D22" s="6" t="str">
        <f>IF($A22="","",
   IF(COUNTIF($A$4:A22,$A22)&gt;1,
      "",
      SUMIF($G:$G,$A22,$H:$H)
   )
)</f>
        <v/>
      </c>
      <c r="E22" s="6" t="str">
        <f>IF($A22="","", IF(COUNTIF($A$4:A22,$A22)&gt;1, "", IF(COUNTIF($G:$G,$A22)=0, "P/N not on MR", IF(SUMIF($A:$A,$A22,$B:$B)&lt;&gt;D22, "QTY Mismatch", "" ) ) ) )</f>
        <v/>
      </c>
      <c r="F22" s="2"/>
      <c r="G22" s="6"/>
      <c r="H22" s="3"/>
      <c r="I22" s="6" t="str">
        <f>IF($G22="","",
   IF(COUNTIF($G$4:G22,$G22)&gt;1,
      "",
      SUMIF($A:$A,$G22,$B:$B)
   )
)</f>
        <v/>
      </c>
      <c r="J22" s="6" t="str">
        <f>IF($G22="","",
   IF(COUNTIF($G$4:G22,$G22)&gt;1,
      "",
      SUMIF($G:$G,$G22,$H:$H)
   )
)</f>
        <v/>
      </c>
      <c r="K22" s="6" t="str">
        <f>IF($G22="","", IF(COUNTIF($G$4:G22,$G22)&gt;1, "", IF(COUNTIF($A:$A,$G22)=0, "P/N not on LPN", IF(SUMIF($G:$G,$G22,$H:$H)&lt;&gt;I22, "QTY Mismatch", "" ) ) ) )</f>
        <v/>
      </c>
      <c r="L22" s="2"/>
      <c r="M22" s="6"/>
      <c r="N22" s="3"/>
      <c r="O22" s="2"/>
    </row>
    <row r="23" spans="1:15" ht="15.5" thickTop="1" thickBot="1" x14ac:dyDescent="0.4">
      <c r="A23" s="11"/>
      <c r="B23" s="12"/>
      <c r="C23" s="11" t="str">
        <f>IF($A23="","",
   IF(COUNTIF($A$4:A23,$A23)&gt;1,
      "",
      SUMIF($A:$A,$A23,$B:$B)
   )
)</f>
        <v/>
      </c>
      <c r="D23" s="11" t="str">
        <f>IF($A23="","",
   IF(COUNTIF($A$4:A23,$A23)&gt;1,
      "",
      SUMIF($G:$G,$A23,$H:$H)
   )
)</f>
        <v/>
      </c>
      <c r="E23" s="11" t="str">
        <f>IF($A23="","", IF(COUNTIF($A$4:A23,$A23)&gt;1, "", IF(COUNTIF($G:$G,$A23)=0, "P/N not on MR", IF(SUMIF($A:$A,$A23,$B:$B)&lt;&gt;D23, "QTY Mismatch", "" ) ) ) )</f>
        <v/>
      </c>
      <c r="F23" s="2"/>
      <c r="G23" s="11"/>
      <c r="H23" s="12"/>
      <c r="I23" s="11" t="str">
        <f>IF($G23="","",
   IF(COUNTIF($G$4:G23,$G23)&gt;1,
      "",
      SUMIF($A:$A,$G23,$B:$B)
   )
)</f>
        <v/>
      </c>
      <c r="J23" s="11" t="str">
        <f>IF($G23="","",
   IF(COUNTIF($G$4:G23,$G23)&gt;1,
      "",
      SUMIF($G:$G,$G23,$H:$H)
   )
)</f>
        <v/>
      </c>
      <c r="K23" s="11" t="str">
        <f>IF($G23="","", IF(COUNTIF($G$4:G23,$G23)&gt;1, "", IF(COUNTIF($A:$A,$G23)=0, "P/N not on LPN", IF(SUMIF($G:$G,$G23,$H:$H)&lt;&gt;I23, "QTY Mismatch", "" ) ) ) )</f>
        <v/>
      </c>
      <c r="L23" s="2"/>
      <c r="M23" s="11"/>
      <c r="N23" s="12"/>
      <c r="O23" s="2"/>
    </row>
    <row r="24" spans="1:15" ht="15.5" thickTop="1" thickBot="1" x14ac:dyDescent="0.4">
      <c r="A24" s="6"/>
      <c r="B24" s="3"/>
      <c r="C24" s="6" t="str">
        <f>IF($A24="","",
   IF(COUNTIF($A$4:A24,$A24)&gt;1,
      "",
      SUMIF($A:$A,$A24,$B:$B)
   )
)</f>
        <v/>
      </c>
      <c r="D24" s="6" t="str">
        <f>IF($A24="","",
   IF(COUNTIF($A$4:A24,$A24)&gt;1,
      "",
      SUMIF($G:$G,$A24,$H:$H)
   )
)</f>
        <v/>
      </c>
      <c r="E24" s="6" t="str">
        <f>IF($A24="","", IF(COUNTIF($A$4:A24,$A24)&gt;1, "", IF(COUNTIF($G:$G,$A24)=0, "P/N not on MR", IF(SUMIF($A:$A,$A24,$B:$B)&lt;&gt;D24, "QTY Mismatch", "" ) ) ) )</f>
        <v/>
      </c>
      <c r="F24" s="2"/>
      <c r="G24" s="6"/>
      <c r="H24" s="3"/>
      <c r="I24" s="6" t="str">
        <f>IF($G24="","",
   IF(COUNTIF($G$4:G24,$G24)&gt;1,
      "",
      SUMIF($A:$A,$G24,$B:$B)
   )
)</f>
        <v/>
      </c>
      <c r="J24" s="6" t="str">
        <f>IF($G24="","",
   IF(COUNTIF($G$4:G24,$G24)&gt;1,
      "",
      SUMIF($G:$G,$G24,$H:$H)
   )
)</f>
        <v/>
      </c>
      <c r="K24" s="6" t="str">
        <f>IF($G24="","", IF(COUNTIF($G$4:G24,$G24)&gt;1, "", IF(COUNTIF($A:$A,$G24)=0, "P/N not on LPN", IF(SUMIF($G:$G,$G24,$H:$H)&lt;&gt;I24, "QTY Mismatch", "" ) ) ) )</f>
        <v/>
      </c>
      <c r="L24" s="2"/>
      <c r="M24" s="6"/>
      <c r="N24" s="3"/>
      <c r="O24" s="2"/>
    </row>
    <row r="25" spans="1:15" ht="15.5" thickTop="1" thickBot="1" x14ac:dyDescent="0.4">
      <c r="A25" s="11"/>
      <c r="B25" s="12"/>
      <c r="C25" s="11" t="str">
        <f>IF($A25="","",
   IF(COUNTIF($A$4:A25,$A25)&gt;1,
      "",
      SUMIF($A:$A,$A25,$B:$B)
   )
)</f>
        <v/>
      </c>
      <c r="D25" s="11" t="str">
        <f>IF($A25="","",
   IF(COUNTIF($A$4:A25,$A25)&gt;1,
      "",
      SUMIF($G:$G,$A25,$H:$H)
   )
)</f>
        <v/>
      </c>
      <c r="E25" s="11" t="str">
        <f>IF($A25="","", IF(COUNTIF($A$4:A25,$A25)&gt;1, "", IF(COUNTIF($G:$G,$A25)=0, "P/N not on MR", IF(SUMIF($A:$A,$A25,$B:$B)&lt;&gt;D25, "QTY Mismatch", "" ) ) ) )</f>
        <v/>
      </c>
      <c r="F25" s="2"/>
      <c r="G25" s="11"/>
      <c r="H25" s="12"/>
      <c r="I25" s="11" t="str">
        <f>IF($G25="","",
   IF(COUNTIF($G$4:G25,$G25)&gt;1,
      "",
      SUMIF($A:$A,$G25,$B:$B)
   )
)</f>
        <v/>
      </c>
      <c r="J25" s="11" t="str">
        <f>IF($G25="","",
   IF(COUNTIF($G$4:G25,$G25)&gt;1,
      "",
      SUMIF($G:$G,$G25,$H:$H)
   )
)</f>
        <v/>
      </c>
      <c r="K25" s="11" t="str">
        <f>IF($G25="","", IF(COUNTIF($G$4:G25,$G25)&gt;1, "", IF(COUNTIF($A:$A,$G25)=0, "P/N not on LPN", IF(SUMIF($G:$G,$G25,$H:$H)&lt;&gt;I25, "QTY Mismatch", "" ) ) ) )</f>
        <v/>
      </c>
      <c r="L25" s="2"/>
      <c r="M25" s="11"/>
      <c r="N25" s="12"/>
      <c r="O25" s="2"/>
    </row>
    <row r="26" spans="1:15" ht="15.5" thickTop="1" thickBot="1" x14ac:dyDescent="0.4">
      <c r="A26" s="6"/>
      <c r="B26" s="3"/>
      <c r="C26" s="6" t="str">
        <f>IF($A26="","",
   IF(COUNTIF($A$4:A26,$A26)&gt;1,
      "",
      SUMIF($A:$A,$A26,$B:$B)
   )
)</f>
        <v/>
      </c>
      <c r="D26" s="6" t="str">
        <f>IF($A26="","",
   IF(COUNTIF($A$4:A26,$A26)&gt;1,
      "",
      SUMIF($G:$G,$A26,$H:$H)
   )
)</f>
        <v/>
      </c>
      <c r="E26" s="6" t="str">
        <f>IF($A26="","", IF(COUNTIF($A$4:A26,$A26)&gt;1, "", IF(COUNTIF($G:$G,$A26)=0, "P/N not on MR", IF(SUMIF($A:$A,$A26,$B:$B)&lt;&gt;D26, "QTY Mismatch", "" ) ) ) )</f>
        <v/>
      </c>
      <c r="F26" s="2"/>
      <c r="G26" s="6"/>
      <c r="H26" s="3"/>
      <c r="I26" s="6" t="str">
        <f>IF($G26="","",
   IF(COUNTIF($G$4:G26,$G26)&gt;1,
      "",
      SUMIF($A:$A,$G26,$B:$B)
   )
)</f>
        <v/>
      </c>
      <c r="J26" s="6" t="str">
        <f>IF($G26="","",
   IF(COUNTIF($G$4:G26,$G26)&gt;1,
      "",
      SUMIF($G:$G,$G26,$H:$H)
   )
)</f>
        <v/>
      </c>
      <c r="K26" s="6" t="str">
        <f>IF($G26="","", IF(COUNTIF($G$4:G26,$G26)&gt;1, "", IF(COUNTIF($A:$A,$G26)=0, "P/N not on LPN", IF(SUMIF($G:$G,$G26,$H:$H)&lt;&gt;I26, "QTY Mismatch", "" ) ) ) )</f>
        <v/>
      </c>
      <c r="L26" s="2"/>
      <c r="M26" s="6"/>
      <c r="N26" s="3"/>
      <c r="O26" s="2"/>
    </row>
    <row r="27" spans="1:15" ht="15.5" thickTop="1" thickBot="1" x14ac:dyDescent="0.4">
      <c r="A27" s="11"/>
      <c r="B27" s="12"/>
      <c r="C27" s="11" t="str">
        <f>IF($A27="","",
   IF(COUNTIF($A$4:A27,$A27)&gt;1,
      "",
      SUMIF($A:$A,$A27,$B:$B)
   )
)</f>
        <v/>
      </c>
      <c r="D27" s="11" t="str">
        <f>IF($A27="","",
   IF(COUNTIF($A$4:A27,$A27)&gt;1,
      "",
      SUMIF($G:$G,$A27,$H:$H)
   )
)</f>
        <v/>
      </c>
      <c r="E27" s="11" t="str">
        <f>IF($A27="","", IF(COUNTIF($A$4:A27,$A27)&gt;1, "", IF(COUNTIF($G:$G,$A27)=0, "P/N not on MR", IF(SUMIF($A:$A,$A27,$B:$B)&lt;&gt;D27, "QTY Mismatch", "" ) ) ) )</f>
        <v/>
      </c>
      <c r="F27" s="2"/>
      <c r="G27" s="11"/>
      <c r="H27" s="12"/>
      <c r="I27" s="11" t="str">
        <f>IF($G27="","",
   IF(COUNTIF($G$4:G27,$G27)&gt;1,
      "",
      SUMIF($A:$A,$G27,$B:$B)
   )
)</f>
        <v/>
      </c>
      <c r="J27" s="11" t="str">
        <f>IF($G27="","",
   IF(COUNTIF($G$4:G27,$G27)&gt;1,
      "",
      SUMIF($G:$G,$G27,$H:$H)
   )
)</f>
        <v/>
      </c>
      <c r="K27" s="11" t="str">
        <f>IF($G27="","", IF(COUNTIF($G$4:G27,$G27)&gt;1, "", IF(COUNTIF($A:$A,$G27)=0, "P/N not on LPN", IF(SUMIF($G:$G,$G27,$H:$H)&lt;&gt;I27, "QTY Mismatch", "" ) ) ) )</f>
        <v/>
      </c>
      <c r="L27" s="2"/>
      <c r="M27" s="11"/>
      <c r="N27" s="12"/>
      <c r="O27" s="2"/>
    </row>
    <row r="28" spans="1:15" ht="15.5" thickTop="1" thickBot="1" x14ac:dyDescent="0.4">
      <c r="A28" s="6"/>
      <c r="B28" s="3"/>
      <c r="C28" s="6" t="str">
        <f>IF($A28="","",
   IF(COUNTIF($A$4:A28,$A28)&gt;1,
      "",
      SUMIF($A:$A,$A28,$B:$B)
   )
)</f>
        <v/>
      </c>
      <c r="D28" s="6" t="str">
        <f>IF($A28="","",
   IF(COUNTIF($A$4:A28,$A28)&gt;1,
      "",
      SUMIF($G:$G,$A28,$H:$H)
   )
)</f>
        <v/>
      </c>
      <c r="E28" s="6" t="str">
        <f>IF($A28="","", IF(COUNTIF($A$4:A28,$A28)&gt;1, "", IF(COUNTIF($G:$G,$A28)=0, "P/N not on MR", IF(SUMIF($A:$A,$A28,$B:$B)&lt;&gt;D28, "QTY Mismatch", "" ) ) ) )</f>
        <v/>
      </c>
      <c r="F28" s="2"/>
      <c r="G28" s="6"/>
      <c r="H28" s="3"/>
      <c r="I28" s="6" t="str">
        <f>IF($G28="","",
   IF(COUNTIF($G$4:G28,$G28)&gt;1,
      "",
      SUMIF($A:$A,$G28,$B:$B)
   )
)</f>
        <v/>
      </c>
      <c r="J28" s="6" t="str">
        <f>IF($G28="","",
   IF(COUNTIF($G$4:G28,$G28)&gt;1,
      "",
      SUMIF($G:$G,$G28,$H:$H)
   )
)</f>
        <v/>
      </c>
      <c r="K28" s="6" t="str">
        <f>IF($G28="","", IF(COUNTIF($G$4:G28,$G28)&gt;1, "", IF(COUNTIF($A:$A,$G28)=0, "P/N not on LPN", IF(SUMIF($G:$G,$G28,$H:$H)&lt;&gt;I28, "QTY Mismatch", "" ) ) ) )</f>
        <v/>
      </c>
      <c r="L28" s="2"/>
      <c r="M28" s="6"/>
      <c r="N28" s="3"/>
      <c r="O28" s="2"/>
    </row>
    <row r="29" spans="1:15" ht="15.5" thickTop="1" thickBot="1" x14ac:dyDescent="0.4">
      <c r="A29" s="11"/>
      <c r="B29" s="12"/>
      <c r="C29" s="11" t="str">
        <f>IF($A29="","",
   IF(COUNTIF($A$4:A29,$A29)&gt;1,
      "",
      SUMIF($A:$A,$A29,$B:$B)
   )
)</f>
        <v/>
      </c>
      <c r="D29" s="11" t="str">
        <f>IF($A29="","",
   IF(COUNTIF($A$4:A29,$A29)&gt;1,
      "",
      SUMIF($G:$G,$A29,$H:$H)
   )
)</f>
        <v/>
      </c>
      <c r="E29" s="11" t="str">
        <f>IF($A29="","", IF(COUNTIF($A$4:A29,$A29)&gt;1, "", IF(COUNTIF($G:$G,$A29)=0, "P/N not on MR", IF(SUMIF($A:$A,$A29,$B:$B)&lt;&gt;D29, "QTY Mismatch", "" ) ) ) )</f>
        <v/>
      </c>
      <c r="F29" s="2"/>
      <c r="G29" s="11"/>
      <c r="H29" s="12"/>
      <c r="I29" s="11" t="str">
        <f>IF($G29="","",
   IF(COUNTIF($G$4:G29,$G29)&gt;1,
      "",
      SUMIF($A:$A,$G29,$B:$B)
   )
)</f>
        <v/>
      </c>
      <c r="J29" s="11" t="str">
        <f>IF($G29="","",
   IF(COUNTIF($G$4:G29,$G29)&gt;1,
      "",
      SUMIF($G:$G,$G29,$H:$H)
   )
)</f>
        <v/>
      </c>
      <c r="K29" s="11" t="str">
        <f>IF($G29="","", IF(COUNTIF($G$4:G29,$G29)&gt;1, "", IF(COUNTIF($A:$A,$G29)=0, "P/N not on LPN", IF(SUMIF($G:$G,$G29,$H:$H)&lt;&gt;I29, "QTY Mismatch", "" ) ) ) )</f>
        <v/>
      </c>
      <c r="L29" s="2"/>
      <c r="M29" s="11"/>
      <c r="N29" s="12"/>
      <c r="O29" s="2"/>
    </row>
    <row r="30" spans="1:15" ht="15.5" thickTop="1" thickBot="1" x14ac:dyDescent="0.4">
      <c r="A30" s="6"/>
      <c r="B30" s="3"/>
      <c r="C30" s="6" t="str">
        <f>IF($A30="","",
   IF(COUNTIF($A$4:A30,$A30)&gt;1,
      "",
      SUMIF($A:$A,$A30,$B:$B)
   )
)</f>
        <v/>
      </c>
      <c r="D30" s="6" t="str">
        <f>IF($A30="","",
   IF(COUNTIF($A$4:A30,$A30)&gt;1,
      "",
      SUMIF($G:$G,$A30,$H:$H)
   )
)</f>
        <v/>
      </c>
      <c r="E30" s="6" t="str">
        <f>IF($A30="","", IF(COUNTIF($A$4:A30,$A30)&gt;1, "", IF(COUNTIF($G:$G,$A30)=0, "P/N not on MR", IF(SUMIF($A:$A,$A30,$B:$B)&lt;&gt;D30, "QTY Mismatch", "" ) ) ) )</f>
        <v/>
      </c>
      <c r="F30" s="2"/>
      <c r="G30" s="6"/>
      <c r="H30" s="3"/>
      <c r="I30" s="6" t="str">
        <f>IF($G30="","",
   IF(COUNTIF($G$4:G30,$G30)&gt;1,
      "",
      SUMIF($A:$A,$G30,$B:$B)
   )
)</f>
        <v/>
      </c>
      <c r="J30" s="6" t="str">
        <f>IF($G30="","",
   IF(COUNTIF($G$4:G30,$G30)&gt;1,
      "",
      SUMIF($G:$G,$G30,$H:$H)
   )
)</f>
        <v/>
      </c>
      <c r="K30" s="6" t="str">
        <f>IF($G30="","", IF(COUNTIF($G$4:G30,$G30)&gt;1, "", IF(COUNTIF($A:$A,$G30)=0, "P/N not on LPN", IF(SUMIF($G:$G,$G30,$H:$H)&lt;&gt;I30, "QTY Mismatch", "" ) ) ) )</f>
        <v/>
      </c>
      <c r="L30" s="2"/>
      <c r="M30" s="6"/>
      <c r="N30" s="3"/>
      <c r="O30" s="2"/>
    </row>
    <row r="31" spans="1:15" ht="15.5" thickTop="1" thickBot="1" x14ac:dyDescent="0.4">
      <c r="A31" s="11"/>
      <c r="B31" s="12"/>
      <c r="C31" s="11" t="str">
        <f>IF($A31="","",
   IF(COUNTIF($A$4:A31,$A31)&gt;1,
      "",
      SUMIF($A:$A,$A31,$B:$B)
   )
)</f>
        <v/>
      </c>
      <c r="D31" s="11" t="str">
        <f>IF($A31="","",
   IF(COUNTIF($A$4:A31,$A31)&gt;1,
      "",
      SUMIF($G:$G,$A31,$H:$H)
   )
)</f>
        <v/>
      </c>
      <c r="E31" s="11" t="str">
        <f>IF($A31="","", IF(COUNTIF($A$4:A31,$A31)&gt;1, "", IF(COUNTIF($G:$G,$A31)=0, "P/N not on MR", IF(SUMIF($A:$A,$A31,$B:$B)&lt;&gt;D31, "QTY Mismatch", "" ) ) ) )</f>
        <v/>
      </c>
      <c r="F31" s="2"/>
      <c r="G31" s="11"/>
      <c r="H31" s="12"/>
      <c r="I31" s="11" t="str">
        <f>IF($G31="","",
   IF(COUNTIF($G$4:G31,$G31)&gt;1,
      "",
      SUMIF($A:$A,$G31,$B:$B)
   )
)</f>
        <v/>
      </c>
      <c r="J31" s="11" t="str">
        <f>IF($G31="","",
   IF(COUNTIF($G$4:G31,$G31)&gt;1,
      "",
      SUMIF($G:$G,$G31,$H:$H)
   )
)</f>
        <v/>
      </c>
      <c r="K31" s="11" t="str">
        <f>IF($G31="","", IF(COUNTIF($G$4:G31,$G31)&gt;1, "", IF(COUNTIF($A:$A,$G31)=0, "P/N not on LPN", IF(SUMIF($G:$G,$G31,$H:$H)&lt;&gt;I31, "QTY Mismatch", "" ) ) ) )</f>
        <v/>
      </c>
      <c r="L31" s="2"/>
      <c r="M31" s="11"/>
      <c r="N31" s="12"/>
      <c r="O31" s="2"/>
    </row>
    <row r="32" spans="1:15" ht="15.5" thickTop="1" thickBot="1" x14ac:dyDescent="0.4">
      <c r="A32" s="6"/>
      <c r="B32" s="3"/>
      <c r="C32" s="6" t="str">
        <f>IF($A32="","",
   IF(COUNTIF($A$4:A32,$A32)&gt;1,
      "",
      SUMIF($A:$A,$A32,$B:$B)
   )
)</f>
        <v/>
      </c>
      <c r="D32" s="6" t="str">
        <f>IF($A32="","",
   IF(COUNTIF($A$4:A32,$A32)&gt;1,
      "",
      SUMIF($G:$G,$A32,$H:$H)
   )
)</f>
        <v/>
      </c>
      <c r="E32" s="6" t="str">
        <f>IF($A32="","", IF(COUNTIF($A$4:A32,$A32)&gt;1, "", IF(COUNTIF($G:$G,$A32)=0, "P/N not on MR", IF(SUMIF($A:$A,$A32,$B:$B)&lt;&gt;D32, "QTY Mismatch", "" ) ) ) )</f>
        <v/>
      </c>
      <c r="F32" s="2"/>
      <c r="G32" s="6"/>
      <c r="H32" s="3"/>
      <c r="I32" s="6" t="str">
        <f>IF($G32="","",
   IF(COUNTIF($G$4:G32,$G32)&gt;1,
      "",
      SUMIF($A:$A,$G32,$B:$B)
   )
)</f>
        <v/>
      </c>
      <c r="J32" s="6" t="str">
        <f>IF($G32="","",
   IF(COUNTIF($G$4:G32,$G32)&gt;1,
      "",
      SUMIF($G:$G,$G32,$H:$H)
   )
)</f>
        <v/>
      </c>
      <c r="K32" s="6" t="str">
        <f>IF($G32="","", IF(COUNTIF($G$4:G32,$G32)&gt;1, "", IF(COUNTIF($A:$A,$G32)=0, "P/N not on LPN", IF(SUMIF($G:$G,$G32,$H:$H)&lt;&gt;I32, "QTY Mismatch", "" ) ) ) )</f>
        <v/>
      </c>
      <c r="L32" s="2"/>
      <c r="M32" s="6"/>
      <c r="N32" s="3"/>
      <c r="O32" s="2"/>
    </row>
    <row r="33" spans="1:15" ht="15.5" thickTop="1" thickBot="1" x14ac:dyDescent="0.4">
      <c r="A33" s="11"/>
      <c r="B33" s="12"/>
      <c r="C33" s="11" t="str">
        <f>IF($A33="","",
   IF(COUNTIF($A$4:A33,$A33)&gt;1,
      "",
      SUMIF($A:$A,$A33,$B:$B)
   )
)</f>
        <v/>
      </c>
      <c r="D33" s="11" t="str">
        <f>IF($A33="","",
   IF(COUNTIF($A$4:A33,$A33)&gt;1,
      "",
      SUMIF($G:$G,$A33,$H:$H)
   )
)</f>
        <v/>
      </c>
      <c r="E33" s="11" t="str">
        <f>IF($A33="","", IF(COUNTIF($A$4:A33,$A33)&gt;1, "", IF(COUNTIF($G:$G,$A33)=0, "P/N not on MR", IF(SUMIF($A:$A,$A33,$B:$B)&lt;&gt;D33, "QTY Mismatch", "" ) ) ) )</f>
        <v/>
      </c>
      <c r="F33" s="2"/>
      <c r="G33" s="11"/>
      <c r="H33" s="12"/>
      <c r="I33" s="11" t="str">
        <f>IF($G33="","",
   IF(COUNTIF($G$4:G33,$G33)&gt;1,
      "",
      SUMIF($A:$A,$G33,$B:$B)
   )
)</f>
        <v/>
      </c>
      <c r="J33" s="11" t="str">
        <f>IF($G33="","",
   IF(COUNTIF($G$4:G33,$G33)&gt;1,
      "",
      SUMIF($G:$G,$G33,$H:$H)
   )
)</f>
        <v/>
      </c>
      <c r="K33" s="11" t="str">
        <f>IF($G33="","", IF(COUNTIF($G$4:G33,$G33)&gt;1, "", IF(COUNTIF($A:$A,$G33)=0, "P/N not on LPN", IF(SUMIF($G:$G,$G33,$H:$H)&lt;&gt;I33, "QTY Mismatch", "" ) ) ) )</f>
        <v/>
      </c>
      <c r="L33" s="2"/>
      <c r="M33" s="11"/>
      <c r="N33" s="12"/>
      <c r="O33" s="2"/>
    </row>
    <row r="34" spans="1:15" ht="15.5" thickTop="1" thickBot="1" x14ac:dyDescent="0.4">
      <c r="A34" s="6"/>
      <c r="B34" s="3"/>
      <c r="C34" s="6" t="str">
        <f>IF($A34="","",
   IF(COUNTIF($A$4:A34,$A34)&gt;1,
      "",
      SUMIF($A:$A,$A34,$B:$B)
   )
)</f>
        <v/>
      </c>
      <c r="D34" s="6" t="str">
        <f>IF($A34="","",
   IF(COUNTIF($A$4:A34,$A34)&gt;1,
      "",
      SUMIF($G:$G,$A34,$H:$H)
   )
)</f>
        <v/>
      </c>
      <c r="E34" s="6" t="str">
        <f>IF($A34="","", IF(COUNTIF($A$4:A34,$A34)&gt;1, "", IF(COUNTIF($G:$G,$A34)=0, "P/N not on MR", IF(SUMIF($A:$A,$A34,$B:$B)&lt;&gt;D34, "QTY Mismatch", "" ) ) ) )</f>
        <v/>
      </c>
      <c r="F34" s="2"/>
      <c r="G34" s="6"/>
      <c r="H34" s="3"/>
      <c r="I34" s="6" t="str">
        <f>IF($G34="","",
   IF(COUNTIF($G$4:G34,$G34)&gt;1,
      "",
      SUMIF($A:$A,$G34,$B:$B)
   )
)</f>
        <v/>
      </c>
      <c r="J34" s="6" t="str">
        <f>IF($G34="","",
   IF(COUNTIF($G$4:G34,$G34)&gt;1,
      "",
      SUMIF($G:$G,$G34,$H:$H)
   )
)</f>
        <v/>
      </c>
      <c r="K34" s="6" t="str">
        <f>IF($G34="","", IF(COUNTIF($G$4:G34,$G34)&gt;1, "", IF(COUNTIF($A:$A,$G34)=0, "P/N not on LPN", IF(SUMIF($G:$G,$G34,$H:$H)&lt;&gt;I34, "QTY Mismatch", "" ) ) ) )</f>
        <v/>
      </c>
      <c r="L34" s="2"/>
      <c r="M34" s="6"/>
      <c r="N34" s="3"/>
      <c r="O34" s="2"/>
    </row>
    <row r="35" spans="1:15" ht="15.5" thickTop="1" thickBot="1" x14ac:dyDescent="0.4">
      <c r="A35" s="11"/>
      <c r="B35" s="12"/>
      <c r="C35" s="11" t="str">
        <f>IF($A35="","",
   IF(COUNTIF($A$4:A35,$A35)&gt;1,
      "",
      SUMIF($A:$A,$A35,$B:$B)
   )
)</f>
        <v/>
      </c>
      <c r="D35" s="11" t="str">
        <f>IF($A35="","",
   IF(COUNTIF($A$4:A35,$A35)&gt;1,
      "",
      SUMIF($G:$G,$A35,$H:$H)
   )
)</f>
        <v/>
      </c>
      <c r="E35" s="11" t="str">
        <f>IF($A35="","", IF(COUNTIF($A$4:A35,$A35)&gt;1, "", IF(COUNTIF($G:$G,$A35)=0, "P/N not on MR", IF(SUMIF($A:$A,$A35,$B:$B)&lt;&gt;D35, "QTY Mismatch", "" ) ) ) )</f>
        <v/>
      </c>
      <c r="F35" s="2"/>
      <c r="G35" s="11"/>
      <c r="H35" s="12"/>
      <c r="I35" s="11" t="str">
        <f>IF($G35="","",
   IF(COUNTIF($G$4:G35,$G35)&gt;1,
      "",
      SUMIF($A:$A,$G35,$B:$B)
   )
)</f>
        <v/>
      </c>
      <c r="J35" s="11" t="str">
        <f>IF($G35="","",
   IF(COUNTIF($G$4:G35,$G35)&gt;1,
      "",
      SUMIF($G:$G,$G35,$H:$H)
   )
)</f>
        <v/>
      </c>
      <c r="K35" s="11" t="str">
        <f>IF($G35="","", IF(COUNTIF($G$4:G35,$G35)&gt;1, "", IF(COUNTIF($A:$A,$G35)=0, "P/N not on LPN", IF(SUMIF($G:$G,$G35,$H:$H)&lt;&gt;I35, "QTY Mismatch", "" ) ) ) )</f>
        <v/>
      </c>
      <c r="L35" s="2"/>
      <c r="M35" s="11"/>
      <c r="N35" s="12"/>
      <c r="O35" s="2"/>
    </row>
    <row r="36" spans="1:15" ht="15.5" thickTop="1" thickBot="1" x14ac:dyDescent="0.4">
      <c r="A36" s="6"/>
      <c r="B36" s="3"/>
      <c r="C36" s="6" t="str">
        <f>IF($A36="","",
   IF(COUNTIF($A$4:A36,$A36)&gt;1,
      "",
      SUMIF($A:$A,$A36,$B:$B)
   )
)</f>
        <v/>
      </c>
      <c r="D36" s="6" t="str">
        <f>IF($A36="","",
   IF(COUNTIF($A$4:A36,$A36)&gt;1,
      "",
      SUMIF($G:$G,$A36,$H:$H)
   )
)</f>
        <v/>
      </c>
      <c r="E36" s="6" t="str">
        <f>IF($A36="","", IF(COUNTIF($A$4:A36,$A36)&gt;1, "", IF(COUNTIF($G:$G,$A36)=0, "P/N not on MR", IF(SUMIF($A:$A,$A36,$B:$B)&lt;&gt;D36, "QTY Mismatch", "" ) ) ) )</f>
        <v/>
      </c>
      <c r="F36" s="2"/>
      <c r="G36" s="6"/>
      <c r="H36" s="3"/>
      <c r="I36" s="6" t="str">
        <f>IF($G36="","",
   IF(COUNTIF($G$4:G36,$G36)&gt;1,
      "",
      SUMIF($A:$A,$G36,$B:$B)
   )
)</f>
        <v/>
      </c>
      <c r="J36" s="6" t="str">
        <f>IF($G36="","",
   IF(COUNTIF($G$4:G36,$G36)&gt;1,
      "",
      SUMIF($G:$G,$G36,$H:$H)
   )
)</f>
        <v/>
      </c>
      <c r="K36" s="6" t="str">
        <f>IF($G36="","", IF(COUNTIF($G$4:G36,$G36)&gt;1, "", IF(COUNTIF($A:$A,$G36)=0, "P/N not on LPN", IF(SUMIF($G:$G,$G36,$H:$H)&lt;&gt;I36, "QTY Mismatch", "" ) ) ) )</f>
        <v/>
      </c>
      <c r="L36" s="2"/>
      <c r="M36" s="6"/>
      <c r="N36" s="3"/>
      <c r="O36" s="2"/>
    </row>
    <row r="37" spans="1:15" ht="15.5" thickTop="1" thickBot="1" x14ac:dyDescent="0.4">
      <c r="A37" s="11"/>
      <c r="B37" s="12"/>
      <c r="C37" s="11" t="str">
        <f>IF($A37="","",
   IF(COUNTIF($A$4:A37,$A37)&gt;1,
      "",
      SUMIF($A:$A,$A37,$B:$B)
   )
)</f>
        <v/>
      </c>
      <c r="D37" s="11" t="str">
        <f>IF($A37="","",
   IF(COUNTIF($A$4:A37,$A37)&gt;1,
      "",
      SUMIF($G:$G,$A37,$H:$H)
   )
)</f>
        <v/>
      </c>
      <c r="E37" s="11" t="str">
        <f>IF($A37="","", IF(COUNTIF($A$4:A37,$A37)&gt;1, "", IF(COUNTIF($G:$G,$A37)=0, "P/N not on MR", IF(SUMIF($A:$A,$A37,$B:$B)&lt;&gt;D37, "QTY Mismatch", "" ) ) ) )</f>
        <v/>
      </c>
      <c r="F37" s="2"/>
      <c r="G37" s="11"/>
      <c r="H37" s="12"/>
      <c r="I37" s="11" t="str">
        <f>IF($G37="","",
   IF(COUNTIF($G$4:G37,$G37)&gt;1,
      "",
      SUMIF($A:$A,$G37,$B:$B)
   )
)</f>
        <v/>
      </c>
      <c r="J37" s="11" t="str">
        <f>IF($G37="","",
   IF(COUNTIF($G$4:G37,$G37)&gt;1,
      "",
      SUMIF($G:$G,$G37,$H:$H)
   )
)</f>
        <v/>
      </c>
      <c r="K37" s="11" t="str">
        <f>IF($G37="","", IF(COUNTIF($G$4:G37,$G37)&gt;1, "", IF(COUNTIF($A:$A,$G37)=0, "P/N not on LPN", IF(SUMIF($G:$G,$G37,$H:$H)&lt;&gt;I37, "QTY Mismatch", "" ) ) ) )</f>
        <v/>
      </c>
      <c r="L37" s="2"/>
      <c r="M37" s="11"/>
      <c r="N37" s="12"/>
      <c r="O37" s="2"/>
    </row>
    <row r="38" spans="1:15" ht="15.5" thickTop="1" thickBot="1" x14ac:dyDescent="0.4">
      <c r="A38" s="6"/>
      <c r="B38" s="3"/>
      <c r="C38" s="6" t="str">
        <f>IF($A38="","",
   IF(COUNTIF($A$4:A38,$A38)&gt;1,
      "",
      SUMIF($A:$A,$A38,$B:$B)
   )
)</f>
        <v/>
      </c>
      <c r="D38" s="6" t="str">
        <f>IF($A38="","",
   IF(COUNTIF($A$4:A38,$A38)&gt;1,
      "",
      SUMIF($G:$G,$A38,$H:$H)
   )
)</f>
        <v/>
      </c>
      <c r="E38" s="6" t="str">
        <f>IF($A38="","", IF(COUNTIF($A$4:A38,$A38)&gt;1, "", IF(COUNTIF($G:$G,$A38)=0, "P/N not on MR", IF(SUMIF($A:$A,$A38,$B:$B)&lt;&gt;D38, "QTY Mismatch", "" ) ) ) )</f>
        <v/>
      </c>
      <c r="F38" s="2"/>
      <c r="G38" s="6"/>
      <c r="H38" s="3"/>
      <c r="I38" s="6" t="str">
        <f>IF($G38="","",
   IF(COUNTIF($G$4:G38,$G38)&gt;1,
      "",
      SUMIF($A:$A,$G38,$B:$B)
   )
)</f>
        <v/>
      </c>
      <c r="J38" s="6" t="str">
        <f>IF($G38="","",
   IF(COUNTIF($G$4:G38,$G38)&gt;1,
      "",
      SUMIF($G:$G,$G38,$H:$H)
   )
)</f>
        <v/>
      </c>
      <c r="K38" s="6" t="str">
        <f>IF($G38="","", IF(COUNTIF($G$4:G38,$G38)&gt;1, "", IF(COUNTIF($A:$A,$G38)=0, "P/N not on LPN", IF(SUMIF($G:$G,$G38,$H:$H)&lt;&gt;I38, "QTY Mismatch", "" ) ) ) )</f>
        <v/>
      </c>
      <c r="L38" s="2"/>
      <c r="M38" s="6"/>
      <c r="N38" s="3"/>
      <c r="O38" s="2"/>
    </row>
    <row r="39" spans="1:15" ht="15.5" thickTop="1" thickBot="1" x14ac:dyDescent="0.4">
      <c r="A39" s="11"/>
      <c r="B39" s="12"/>
      <c r="C39" s="11" t="str">
        <f>IF($A39="","",
   IF(COUNTIF($A$4:A39,$A39)&gt;1,
      "",
      SUMIF($A:$A,$A39,$B:$B)
   )
)</f>
        <v/>
      </c>
      <c r="D39" s="11" t="str">
        <f>IF($A39="","",
   IF(COUNTIF($A$4:A39,$A39)&gt;1,
      "",
      SUMIF($G:$G,$A39,$H:$H)
   )
)</f>
        <v/>
      </c>
      <c r="E39" s="11" t="str">
        <f>IF($A39="","", IF(COUNTIF($A$4:A39,$A39)&gt;1, "", IF(COUNTIF($G:$G,$A39)=0, "P/N not on MR", IF(SUMIF($A:$A,$A39,$B:$B)&lt;&gt;D39, "QTY Mismatch", "" ) ) ) )</f>
        <v/>
      </c>
      <c r="F39" s="2"/>
      <c r="G39" s="11"/>
      <c r="H39" s="12"/>
      <c r="I39" s="11" t="str">
        <f>IF($G39="","",
   IF(COUNTIF($G$4:G39,$G39)&gt;1,
      "",
      SUMIF($A:$A,$G39,$B:$B)
   )
)</f>
        <v/>
      </c>
      <c r="J39" s="11" t="str">
        <f>IF($G39="","",
   IF(COUNTIF($G$4:G39,$G39)&gt;1,
      "",
      SUMIF($G:$G,$G39,$H:$H)
   )
)</f>
        <v/>
      </c>
      <c r="K39" s="11" t="str">
        <f>IF($G39="","", IF(COUNTIF($G$4:G39,$G39)&gt;1, "", IF(COUNTIF($A:$A,$G39)=0, "P/N not on LPN", IF(SUMIF($G:$G,$G39,$H:$H)&lt;&gt;I39, "QTY Mismatch", "" ) ) ) )</f>
        <v/>
      </c>
      <c r="L39" s="2"/>
      <c r="M39" s="11"/>
      <c r="N39" s="12"/>
      <c r="O39" s="2"/>
    </row>
    <row r="40" spans="1:15" ht="15.5" thickTop="1" thickBot="1" x14ac:dyDescent="0.4">
      <c r="A40" s="6"/>
      <c r="B40" s="3"/>
      <c r="C40" s="6" t="str">
        <f>IF($A40="","",
   IF(COUNTIF($A$4:A40,$A40)&gt;1,
      "",
      SUMIF($A:$A,$A40,$B:$B)
   )
)</f>
        <v/>
      </c>
      <c r="D40" s="6" t="str">
        <f>IF($A40="","",
   IF(COUNTIF($A$4:A40,$A40)&gt;1,
      "",
      SUMIF($G:$G,$A40,$H:$H)
   )
)</f>
        <v/>
      </c>
      <c r="E40" s="6" t="str">
        <f>IF($A40="","", IF(COUNTIF($A$4:A40,$A40)&gt;1, "", IF(COUNTIF($G:$G,$A40)=0, "P/N not on MR", IF(SUMIF($A:$A,$A40,$B:$B)&lt;&gt;D40, "QTY Mismatch", "" ) ) ) )</f>
        <v/>
      </c>
      <c r="F40" s="2"/>
      <c r="G40" s="6"/>
      <c r="H40" s="3"/>
      <c r="I40" s="6" t="str">
        <f>IF($G40="","",
   IF(COUNTIF($G$4:G40,$G40)&gt;1,
      "",
      SUMIF($A:$A,$G40,$B:$B)
   )
)</f>
        <v/>
      </c>
      <c r="J40" s="6" t="str">
        <f>IF($G40="","",
   IF(COUNTIF($G$4:G40,$G40)&gt;1,
      "",
      SUMIF($G:$G,$G40,$H:$H)
   )
)</f>
        <v/>
      </c>
      <c r="K40" s="6" t="str">
        <f>IF($G40="","", IF(COUNTIF($G$4:G40,$G40)&gt;1, "", IF(COUNTIF($A:$A,$G40)=0, "P/N not on LPN", IF(SUMIF($G:$G,$G40,$H:$H)&lt;&gt;I40, "QTY Mismatch", "" ) ) ) )</f>
        <v/>
      </c>
      <c r="L40" s="2"/>
      <c r="M40" s="6"/>
      <c r="N40" s="3"/>
      <c r="O40" s="2"/>
    </row>
    <row r="41" spans="1:15" ht="15.5" thickTop="1" thickBot="1" x14ac:dyDescent="0.4">
      <c r="A41" s="11"/>
      <c r="B41" s="12"/>
      <c r="C41" s="11" t="str">
        <f>IF($A41="","",
   IF(COUNTIF($A$4:A41,$A41)&gt;1,
      "",
      SUMIF($A:$A,$A41,$B:$B)
   )
)</f>
        <v/>
      </c>
      <c r="D41" s="11" t="str">
        <f>IF($A41="","",
   IF(COUNTIF($A$4:A41,$A41)&gt;1,
      "",
      SUMIF($G:$G,$A41,$H:$H)
   )
)</f>
        <v/>
      </c>
      <c r="E41" s="11" t="str">
        <f>IF($A41="","", IF(COUNTIF($A$4:A41,$A41)&gt;1, "", IF(COUNTIF($G:$G,$A41)=0, "P/N not on MR", IF(SUMIF($A:$A,$A41,$B:$B)&lt;&gt;D41, "QTY Mismatch", "" ) ) ) )</f>
        <v/>
      </c>
      <c r="F41" s="2"/>
      <c r="G41" s="11"/>
      <c r="H41" s="12"/>
      <c r="I41" s="11" t="str">
        <f>IF($G41="","",
   IF(COUNTIF($G$4:G41,$G41)&gt;1,
      "",
      SUMIF($A:$A,$G41,$B:$B)
   )
)</f>
        <v/>
      </c>
      <c r="J41" s="11" t="str">
        <f>IF($G41="","",
   IF(COUNTIF($G$4:G41,$G41)&gt;1,
      "",
      SUMIF($G:$G,$G41,$H:$H)
   )
)</f>
        <v/>
      </c>
      <c r="K41" s="11" t="str">
        <f>IF($G41="","", IF(COUNTIF($G$4:G41,$G41)&gt;1, "", IF(COUNTIF($A:$A,$G41)=0, "P/N not on LPN", IF(SUMIF($G:$G,$G41,$H:$H)&lt;&gt;I41, "QTY Mismatch", "" ) ) ) )</f>
        <v/>
      </c>
      <c r="L41" s="2"/>
      <c r="M41" s="11"/>
      <c r="N41" s="12"/>
      <c r="O41" s="2"/>
    </row>
    <row r="42" spans="1:15" ht="15.5" thickTop="1" thickBot="1" x14ac:dyDescent="0.4">
      <c r="A42" s="6"/>
      <c r="B42" s="3"/>
      <c r="C42" s="6" t="str">
        <f>IF($A42="","",
   IF(COUNTIF($A$4:A42,$A42)&gt;1,
      "",
      SUMIF($A:$A,$A42,$B:$B)
   )
)</f>
        <v/>
      </c>
      <c r="D42" s="6" t="str">
        <f>IF($A42="","",
   IF(COUNTIF($A$4:A42,$A42)&gt;1,
      "",
      SUMIF($G:$G,$A42,$H:$H)
   )
)</f>
        <v/>
      </c>
      <c r="E42" s="6" t="str">
        <f>IF($A42="","", IF(COUNTIF($A$4:A42,$A42)&gt;1, "", IF(COUNTIF($G:$G,$A42)=0, "P/N not on MR", IF(SUMIF($A:$A,$A42,$B:$B)&lt;&gt;D42, "QTY Mismatch", "" ) ) ) )</f>
        <v/>
      </c>
      <c r="F42" s="2"/>
      <c r="G42" s="6"/>
      <c r="H42" s="3"/>
      <c r="I42" s="6" t="str">
        <f>IF($G42="","",
   IF(COUNTIF($G$4:G42,$G42)&gt;1,
      "",
      SUMIF($A:$A,$G42,$B:$B)
   )
)</f>
        <v/>
      </c>
      <c r="J42" s="6" t="str">
        <f>IF($G42="","",
   IF(COUNTIF($G$4:G42,$G42)&gt;1,
      "",
      SUMIF($G:$G,$G42,$H:$H)
   )
)</f>
        <v/>
      </c>
      <c r="K42" s="6" t="str">
        <f>IF($G42="","", IF(COUNTIF($G$4:G42,$G42)&gt;1, "", IF(COUNTIF($A:$A,$G42)=0, "P/N not on LPN", IF(SUMIF($G:$G,$G42,$H:$H)&lt;&gt;I42, "QTY Mismatch", "" ) ) ) )</f>
        <v/>
      </c>
      <c r="L42" s="2"/>
      <c r="M42" s="6"/>
      <c r="N42" s="3"/>
      <c r="O42" s="2"/>
    </row>
    <row r="43" spans="1:15" ht="15.5" thickTop="1" thickBot="1" x14ac:dyDescent="0.4">
      <c r="A43" s="11"/>
      <c r="B43" s="12"/>
      <c r="C43" s="11" t="str">
        <f>IF($A43="","",
   IF(COUNTIF($A$4:A43,$A43)&gt;1,
      "",
      SUMIF($A:$A,$A43,$B:$B)
   )
)</f>
        <v/>
      </c>
      <c r="D43" s="11" t="str">
        <f>IF($A43="","",
   IF(COUNTIF($A$4:A43,$A43)&gt;1,
      "",
      SUMIF($G:$G,$A43,$H:$H)
   )
)</f>
        <v/>
      </c>
      <c r="E43" s="11" t="str">
        <f>IF($A43="","", IF(COUNTIF($A$4:A43,$A43)&gt;1, "", IF(COUNTIF($G:$G,$A43)=0, "P/N not on MR", IF(SUMIF($A:$A,$A43,$B:$B)&lt;&gt;D43, "QTY Mismatch", "" ) ) ) )</f>
        <v/>
      </c>
      <c r="F43" s="2"/>
      <c r="G43" s="11"/>
      <c r="H43" s="12"/>
      <c r="I43" s="11" t="str">
        <f>IF($G43="","",
   IF(COUNTIF($G$4:G43,$G43)&gt;1,
      "",
      SUMIF($A:$A,$G43,$B:$B)
   )
)</f>
        <v/>
      </c>
      <c r="J43" s="11" t="str">
        <f>IF($G43="","",
   IF(COUNTIF($G$4:G43,$G43)&gt;1,
      "",
      SUMIF($G:$G,$G43,$H:$H)
   )
)</f>
        <v/>
      </c>
      <c r="K43" s="11" t="str">
        <f>IF($G43="","", IF(COUNTIF($G$4:G43,$G43)&gt;1, "", IF(COUNTIF($A:$A,$G43)=0, "P/N not on LPN", IF(SUMIF($G:$G,$G43,$H:$H)&lt;&gt;I43, "QTY Mismatch", "" ) ) ) )</f>
        <v/>
      </c>
      <c r="L43" s="2"/>
      <c r="M43" s="11"/>
      <c r="N43" s="12"/>
      <c r="O43" s="2"/>
    </row>
    <row r="44" spans="1:15" ht="15.5" thickTop="1" thickBot="1" x14ac:dyDescent="0.4">
      <c r="A44" s="6"/>
      <c r="B44" s="3"/>
      <c r="C44" s="6" t="str">
        <f>IF($A44="","",
   IF(COUNTIF($A$4:A44,$A44)&gt;1,
      "",
      SUMIF($A:$A,$A44,$B:$B)
   )
)</f>
        <v/>
      </c>
      <c r="D44" s="6" t="str">
        <f>IF($A44="","",
   IF(COUNTIF($A$4:A44,$A44)&gt;1,
      "",
      SUMIF($G:$G,$A44,$H:$H)
   )
)</f>
        <v/>
      </c>
      <c r="E44" s="6" t="str">
        <f>IF($A44="","", IF(COUNTIF($A$4:A44,$A44)&gt;1, "", IF(COUNTIF($G:$G,$A44)=0, "P/N not on MR", IF(SUMIF($A:$A,$A44,$B:$B)&lt;&gt;D44, "QTY Mismatch", "" ) ) ) )</f>
        <v/>
      </c>
      <c r="F44" s="2"/>
      <c r="G44" s="6"/>
      <c r="H44" s="3"/>
      <c r="I44" s="6" t="str">
        <f>IF($G44="","",
   IF(COUNTIF($G$4:G44,$G44)&gt;1,
      "",
      SUMIF($A:$A,$G44,$B:$B)
   )
)</f>
        <v/>
      </c>
      <c r="J44" s="6" t="str">
        <f>IF($G44="","",
   IF(COUNTIF($G$4:G44,$G44)&gt;1,
      "",
      SUMIF($G:$G,$G44,$H:$H)
   )
)</f>
        <v/>
      </c>
      <c r="K44" s="6" t="str">
        <f>IF($G44="","", IF(COUNTIF($G$4:G44,$G44)&gt;1, "", IF(COUNTIF($A:$A,$G44)=0, "P/N not on LPN", IF(SUMIF($G:$G,$G44,$H:$H)&lt;&gt;I44, "QTY Mismatch", "" ) ) ) )</f>
        <v/>
      </c>
      <c r="L44" s="2"/>
      <c r="M44" s="6"/>
      <c r="N44" s="3"/>
      <c r="O44" s="2"/>
    </row>
    <row r="45" spans="1:15" ht="15.5" thickTop="1" thickBot="1" x14ac:dyDescent="0.4">
      <c r="A45" s="11"/>
      <c r="B45" s="12"/>
      <c r="C45" s="11" t="str">
        <f>IF($A45="","",
   IF(COUNTIF($A$4:A45,$A45)&gt;1,
      "",
      SUMIF($A:$A,$A45,$B:$B)
   )
)</f>
        <v/>
      </c>
      <c r="D45" s="11" t="str">
        <f>IF($A45="","",
   IF(COUNTIF($A$4:A45,$A45)&gt;1,
      "",
      SUMIF($G:$G,$A45,$H:$H)
   )
)</f>
        <v/>
      </c>
      <c r="E45" s="11" t="str">
        <f>IF($A45="","", IF(COUNTIF($A$4:A45,$A45)&gt;1, "", IF(COUNTIF($G:$G,$A45)=0, "P/N not on MR", IF(SUMIF($A:$A,$A45,$B:$B)&lt;&gt;D45, "QTY Mismatch", "" ) ) ) )</f>
        <v/>
      </c>
      <c r="F45" s="2"/>
      <c r="G45" s="11"/>
      <c r="H45" s="12"/>
      <c r="I45" s="11" t="str">
        <f>IF($G45="","",
   IF(COUNTIF($G$4:G45,$G45)&gt;1,
      "",
      SUMIF($A:$A,$G45,$B:$B)
   )
)</f>
        <v/>
      </c>
      <c r="J45" s="11" t="str">
        <f>IF($G45="","",
   IF(COUNTIF($G$4:G45,$G45)&gt;1,
      "",
      SUMIF($G:$G,$G45,$H:$H)
   )
)</f>
        <v/>
      </c>
      <c r="K45" s="11" t="str">
        <f>IF($G45="","", IF(COUNTIF($G$4:G45,$G45)&gt;1, "", IF(COUNTIF($A:$A,$G45)=0, "P/N not on LPN", IF(SUMIF($G:$G,$G45,$H:$H)&lt;&gt;I45, "QTY Mismatch", "" ) ) ) )</f>
        <v/>
      </c>
      <c r="L45" s="2"/>
      <c r="M45" s="11"/>
      <c r="N45" s="12"/>
      <c r="O45" s="2"/>
    </row>
    <row r="46" spans="1:15" ht="15.5" thickTop="1" thickBot="1" x14ac:dyDescent="0.4">
      <c r="A46" s="6"/>
      <c r="B46" s="3"/>
      <c r="C46" s="6" t="str">
        <f>IF($A46="","",
   IF(COUNTIF($A$4:A46,$A46)&gt;1,
      "",
      SUMIF($A:$A,$A46,$B:$B)
   )
)</f>
        <v/>
      </c>
      <c r="D46" s="6" t="str">
        <f>IF($A46="","",
   IF(COUNTIF($A$4:A46,$A46)&gt;1,
      "",
      SUMIF($G:$G,$A46,$H:$H)
   )
)</f>
        <v/>
      </c>
      <c r="E46" s="6" t="str">
        <f>IF($A46="","", IF(COUNTIF($A$4:A46,$A46)&gt;1, "", IF(COUNTIF($G:$G,$A46)=0, "P/N not on MR", IF(SUMIF($A:$A,$A46,$B:$B)&lt;&gt;D46, "QTY Mismatch", "" ) ) ) )</f>
        <v/>
      </c>
      <c r="F46" s="2"/>
      <c r="G46" s="6"/>
      <c r="H46" s="3"/>
      <c r="I46" s="6" t="str">
        <f>IF($G46="","",
   IF(COUNTIF($G$4:G46,$G46)&gt;1,
      "",
      SUMIF($A:$A,$G46,$B:$B)
   )
)</f>
        <v/>
      </c>
      <c r="J46" s="6" t="str">
        <f>IF($G46="","",
   IF(COUNTIF($G$4:G46,$G46)&gt;1,
      "",
      SUMIF($G:$G,$G46,$H:$H)
   )
)</f>
        <v/>
      </c>
      <c r="K46" s="6" t="str">
        <f>IF($G46="","", IF(COUNTIF($G$4:G46,$G46)&gt;1, "", IF(COUNTIF($A:$A,$G46)=0, "P/N not on LPN", IF(SUMIF($G:$G,$G46,$H:$H)&lt;&gt;I46, "QTY Mismatch", "" ) ) ) )</f>
        <v/>
      </c>
      <c r="L46" s="2"/>
      <c r="M46" s="6"/>
      <c r="N46" s="3"/>
      <c r="O46" s="2"/>
    </row>
    <row r="47" spans="1:15" ht="15.5" thickTop="1" thickBot="1" x14ac:dyDescent="0.4">
      <c r="A47" s="11"/>
      <c r="B47" s="12"/>
      <c r="C47" s="11" t="str">
        <f>IF($A47="","",
   IF(COUNTIF($A$4:A47,$A47)&gt;1,
      "",
      SUMIF($A:$A,$A47,$B:$B)
   )
)</f>
        <v/>
      </c>
      <c r="D47" s="11" t="str">
        <f>IF($A47="","",
   IF(COUNTIF($A$4:A47,$A47)&gt;1,
      "",
      SUMIF($G:$G,$A47,$H:$H)
   )
)</f>
        <v/>
      </c>
      <c r="E47" s="11" t="str">
        <f>IF($A47="","", IF(COUNTIF($A$4:A47,$A47)&gt;1, "", IF(COUNTIF($G:$G,$A47)=0, "P/N not on MR", IF(SUMIF($A:$A,$A47,$B:$B)&lt;&gt;D47, "QTY Mismatch", "" ) ) ) )</f>
        <v/>
      </c>
      <c r="F47" s="2"/>
      <c r="G47" s="11"/>
      <c r="H47" s="12"/>
      <c r="I47" s="11" t="str">
        <f>IF($G47="","",
   IF(COUNTIF($G$4:G47,$G47)&gt;1,
      "",
      SUMIF($A:$A,$G47,$B:$B)
   )
)</f>
        <v/>
      </c>
      <c r="J47" s="11" t="str">
        <f>IF($G47="","",
   IF(COUNTIF($G$4:G47,$G47)&gt;1,
      "",
      SUMIF($G:$G,$G47,$H:$H)
   )
)</f>
        <v/>
      </c>
      <c r="K47" s="11" t="str">
        <f>IF($G47="","", IF(COUNTIF($G$4:G47,$G47)&gt;1, "", IF(COUNTIF($A:$A,$G47)=0, "P/N not on LPN", IF(SUMIF($G:$G,$G47,$H:$H)&lt;&gt;I47, "QTY Mismatch", "" ) ) ) )</f>
        <v/>
      </c>
      <c r="L47" s="2"/>
      <c r="M47" s="11"/>
      <c r="N47" s="12"/>
      <c r="O47" s="2"/>
    </row>
    <row r="48" spans="1:15" ht="15.5" thickTop="1" thickBot="1" x14ac:dyDescent="0.4">
      <c r="A48" s="6"/>
      <c r="B48" s="3"/>
      <c r="C48" s="6" t="str">
        <f>IF($A48="","",
   IF(COUNTIF($A$4:A48,$A48)&gt;1,
      "",
      SUMIF($A:$A,$A48,$B:$B)
   )
)</f>
        <v/>
      </c>
      <c r="D48" s="6" t="str">
        <f>IF($A48="","",
   IF(COUNTIF($A$4:A48,$A48)&gt;1,
      "",
      SUMIF($G:$G,$A48,$H:$H)
   )
)</f>
        <v/>
      </c>
      <c r="E48" s="6" t="str">
        <f>IF($A48="","", IF(COUNTIF($A$4:A48,$A48)&gt;1, "", IF(COUNTIF($G:$G,$A48)=0, "P/N not on MR", IF(SUMIF($A:$A,$A48,$B:$B)&lt;&gt;D48, "QTY Mismatch", "" ) ) ) )</f>
        <v/>
      </c>
      <c r="F48" s="2"/>
      <c r="G48" s="6"/>
      <c r="H48" s="3"/>
      <c r="I48" s="6" t="str">
        <f>IF($G48="","",
   IF(COUNTIF($G$4:G48,$G48)&gt;1,
      "",
      SUMIF($A:$A,$G48,$B:$B)
   )
)</f>
        <v/>
      </c>
      <c r="J48" s="6" t="str">
        <f>IF($G48="","",
   IF(COUNTIF($G$4:G48,$G48)&gt;1,
      "",
      SUMIF($G:$G,$G48,$H:$H)
   )
)</f>
        <v/>
      </c>
      <c r="K48" s="6" t="str">
        <f>IF($G48="","", IF(COUNTIF($G$4:G48,$G48)&gt;1, "", IF(COUNTIF($A:$A,$G48)=0, "P/N not on LPN", IF(SUMIF($G:$G,$G48,$H:$H)&lt;&gt;I48, "QTY Mismatch", "" ) ) ) )</f>
        <v/>
      </c>
      <c r="L48" s="2"/>
      <c r="M48" s="6"/>
      <c r="N48" s="3"/>
      <c r="O48" s="2"/>
    </row>
    <row r="49" spans="1:15" ht="15.5" thickTop="1" thickBot="1" x14ac:dyDescent="0.4">
      <c r="A49" s="11"/>
      <c r="B49" s="12"/>
      <c r="C49" s="11" t="str">
        <f>IF($A49="","",
   IF(COUNTIF($A$4:A49,$A49)&gt;1,
      "",
      SUMIF($A:$A,$A49,$B:$B)
   )
)</f>
        <v/>
      </c>
      <c r="D49" s="11" t="str">
        <f>IF($A49="","",
   IF(COUNTIF($A$4:A49,$A49)&gt;1,
      "",
      SUMIF($G:$G,$A49,$H:$H)
   )
)</f>
        <v/>
      </c>
      <c r="E49" s="11" t="str">
        <f>IF($A49="","", IF(COUNTIF($A$4:A49,$A49)&gt;1, "", IF(COUNTIF($G:$G,$A49)=0, "P/N not on MR", IF(SUMIF($A:$A,$A49,$B:$B)&lt;&gt;D49, "QTY Mismatch", "" ) ) ) )</f>
        <v/>
      </c>
      <c r="F49" s="2"/>
      <c r="G49" s="11"/>
      <c r="H49" s="12"/>
      <c r="I49" s="11" t="str">
        <f>IF($G49="","",
   IF(COUNTIF($G$4:G49,$G49)&gt;1,
      "",
      SUMIF($A:$A,$G49,$B:$B)
   )
)</f>
        <v/>
      </c>
      <c r="J49" s="11" t="str">
        <f>IF($G49="","",
   IF(COUNTIF($G$4:G49,$G49)&gt;1,
      "",
      SUMIF($G:$G,$G49,$H:$H)
   )
)</f>
        <v/>
      </c>
      <c r="K49" s="11" t="str">
        <f>IF($G49="","", IF(COUNTIF($G$4:G49,$G49)&gt;1, "", IF(COUNTIF($A:$A,$G49)=0, "P/N not on LPN", IF(SUMIF($G:$G,$G49,$H:$H)&lt;&gt;I49, "QTY Mismatch", "" ) ) ) )</f>
        <v/>
      </c>
      <c r="L49" s="2"/>
      <c r="M49" s="11"/>
      <c r="N49" s="12"/>
      <c r="O49" s="2"/>
    </row>
    <row r="50" spans="1:15" ht="15.5" thickTop="1" thickBot="1" x14ac:dyDescent="0.4">
      <c r="A50" s="6"/>
      <c r="B50" s="3"/>
      <c r="C50" s="6" t="str">
        <f>IF($A50="","",
   IF(COUNTIF($A$4:A50,$A50)&gt;1,
      "",
      SUMIF($A:$A,$A50,$B:$B)
   )
)</f>
        <v/>
      </c>
      <c r="D50" s="6" t="str">
        <f>IF($A50="","",
   IF(COUNTIF($A$4:A50,$A50)&gt;1,
      "",
      SUMIF($G:$G,$A50,$H:$H)
   )
)</f>
        <v/>
      </c>
      <c r="E50" s="6" t="str">
        <f>IF($A50="","", IF(COUNTIF($A$4:A50,$A50)&gt;1, "", IF(COUNTIF($G:$G,$A50)=0, "P/N not on MR", IF(SUMIF($A:$A,$A50,$B:$B)&lt;&gt;D50, "QTY Mismatch", "" ) ) ) )</f>
        <v/>
      </c>
      <c r="F50" s="2"/>
      <c r="G50" s="6"/>
      <c r="H50" s="3"/>
      <c r="I50" s="6" t="str">
        <f>IF($G50="","",
   IF(COUNTIF($G$4:G50,$G50)&gt;1,
      "",
      SUMIF($A:$A,$G50,$B:$B)
   )
)</f>
        <v/>
      </c>
      <c r="J50" s="6" t="str">
        <f>IF($G50="","",
   IF(COUNTIF($G$4:G50,$G50)&gt;1,
      "",
      SUMIF($G:$G,$G50,$H:$H)
   )
)</f>
        <v/>
      </c>
      <c r="K50" s="6" t="str">
        <f>IF($G50="","", IF(COUNTIF($G$4:G50,$G50)&gt;1, "", IF(COUNTIF($A:$A,$G50)=0, "P/N not on LPN", IF(SUMIF($G:$G,$G50,$H:$H)&lt;&gt;I50, "QTY Mismatch", "" ) ) ) )</f>
        <v/>
      </c>
      <c r="L50" s="2"/>
      <c r="M50" s="6"/>
      <c r="N50" s="3"/>
      <c r="O50" s="2"/>
    </row>
    <row r="51" spans="1:15" ht="15.5" thickTop="1" thickBot="1" x14ac:dyDescent="0.4">
      <c r="A51" s="11"/>
      <c r="B51" s="12"/>
      <c r="C51" s="11" t="str">
        <f>IF($A51="","",
   IF(COUNTIF($A$4:A51,$A51)&gt;1,
      "",
      SUMIF($A:$A,$A51,$B:$B)
   )
)</f>
        <v/>
      </c>
      <c r="D51" s="11" t="str">
        <f>IF($A51="","",
   IF(COUNTIF($A$4:A51,$A51)&gt;1,
      "",
      SUMIF($G:$G,$A51,$H:$H)
   )
)</f>
        <v/>
      </c>
      <c r="E51" s="11" t="str">
        <f>IF($A51="","", IF(COUNTIF($A$4:A51,$A51)&gt;1, "", IF(COUNTIF($G:$G,$A51)=0, "P/N not on MR", IF(SUMIF($A:$A,$A51,$B:$B)&lt;&gt;D51, "QTY Mismatch", "" ) ) ) )</f>
        <v/>
      </c>
      <c r="F51" s="2"/>
      <c r="G51" s="11"/>
      <c r="H51" s="12"/>
      <c r="I51" s="11" t="str">
        <f>IF($G51="","",
   IF(COUNTIF($G$4:G51,$G51)&gt;1,
      "",
      SUMIF($A:$A,$G51,$B:$B)
   )
)</f>
        <v/>
      </c>
      <c r="J51" s="11" t="str">
        <f>IF($G51="","",
   IF(COUNTIF($G$4:G51,$G51)&gt;1,
      "",
      SUMIF($G:$G,$G51,$H:$H)
   )
)</f>
        <v/>
      </c>
      <c r="K51" s="11" t="str">
        <f>IF($G51="","", IF(COUNTIF($G$4:G51,$G51)&gt;1, "", IF(COUNTIF($A:$A,$G51)=0, "P/N not on LPN", IF(SUMIF($G:$G,$G51,$H:$H)&lt;&gt;I51, "QTY Mismatch", "" ) ) ) )</f>
        <v/>
      </c>
      <c r="L51" s="2"/>
      <c r="M51" s="11"/>
      <c r="N51" s="12"/>
      <c r="O51" s="2"/>
    </row>
    <row r="52" spans="1:15" ht="15.5" thickTop="1" thickBot="1" x14ac:dyDescent="0.4">
      <c r="A52" s="6"/>
      <c r="B52" s="3"/>
      <c r="C52" s="6" t="str">
        <f>IF($A52="","",
   IF(COUNTIF($A$4:A52,$A52)&gt;1,
      "",
      SUMIF($A:$A,$A52,$B:$B)
   )
)</f>
        <v/>
      </c>
      <c r="D52" s="6" t="str">
        <f>IF($A52="","",
   IF(COUNTIF($A$4:A52,$A52)&gt;1,
      "",
      SUMIF($G:$G,$A52,$H:$H)
   )
)</f>
        <v/>
      </c>
      <c r="E52" s="6" t="str">
        <f>IF($A52="","", IF(COUNTIF($A$4:A52,$A52)&gt;1, "", IF(COUNTIF($G:$G,$A52)=0, "P/N not on MR", IF(SUMIF($A:$A,$A52,$B:$B)&lt;&gt;D52, "QTY Mismatch", "" ) ) ) )</f>
        <v/>
      </c>
      <c r="F52" s="2"/>
      <c r="G52" s="6"/>
      <c r="H52" s="3"/>
      <c r="I52" s="6" t="str">
        <f>IF($G52="","",
   IF(COUNTIF($G$4:G52,$G52)&gt;1,
      "",
      SUMIF($A:$A,$G52,$B:$B)
   )
)</f>
        <v/>
      </c>
      <c r="J52" s="6" t="str">
        <f>IF($G52="","",
   IF(COUNTIF($G$4:G52,$G52)&gt;1,
      "",
      SUMIF($G:$G,$G52,$H:$H)
   )
)</f>
        <v/>
      </c>
      <c r="K52" s="6" t="str">
        <f>IF($G52="","", IF(COUNTIF($G$4:G52,$G52)&gt;1, "", IF(COUNTIF($A:$A,$G52)=0, "P/N not on LPN", IF(SUMIF($G:$G,$G52,$H:$H)&lt;&gt;I52, "QTY Mismatch", "" ) ) ) )</f>
        <v/>
      </c>
      <c r="L52" s="2"/>
      <c r="M52" s="6"/>
      <c r="N52" s="3"/>
      <c r="O52" s="2"/>
    </row>
    <row r="53" spans="1:15" ht="15.5" thickTop="1" thickBot="1" x14ac:dyDescent="0.4">
      <c r="A53" s="11"/>
      <c r="B53" s="12"/>
      <c r="C53" s="11" t="str">
        <f>IF($A53="","",
   IF(COUNTIF($A$4:A53,$A53)&gt;1,
      "",
      SUMIF($A:$A,$A53,$B:$B)
   )
)</f>
        <v/>
      </c>
      <c r="D53" s="11" t="str">
        <f>IF($A53="","",
   IF(COUNTIF($A$4:A53,$A53)&gt;1,
      "",
      SUMIF($G:$G,$A53,$H:$H)
   )
)</f>
        <v/>
      </c>
      <c r="E53" s="11" t="str">
        <f>IF($A53="","", IF(COUNTIF($A$4:A53,$A53)&gt;1, "", IF(COUNTIF($G:$G,$A53)=0, "P/N not on MR", IF(SUMIF($A:$A,$A53,$B:$B)&lt;&gt;D53, "QTY Mismatch", "" ) ) ) )</f>
        <v/>
      </c>
      <c r="F53" s="2"/>
      <c r="G53" s="11"/>
      <c r="H53" s="12"/>
      <c r="I53" s="11" t="str">
        <f>IF($G53="","",
   IF(COUNTIF($G$4:G53,$G53)&gt;1,
      "",
      SUMIF($A:$A,$G53,$B:$B)
   )
)</f>
        <v/>
      </c>
      <c r="J53" s="11" t="str">
        <f>IF($G53="","",
   IF(COUNTIF($G$4:G53,$G53)&gt;1,
      "",
      SUMIF($G:$G,$G53,$H:$H)
   )
)</f>
        <v/>
      </c>
      <c r="K53" s="11" t="str">
        <f>IF($G53="","", IF(COUNTIF($G$4:G53,$G53)&gt;1, "", IF(COUNTIF($A:$A,$G53)=0, "P/N not on LPN", IF(SUMIF($G:$G,$G53,$H:$H)&lt;&gt;I53, "QTY Mismatch", "" ) ) ) )</f>
        <v/>
      </c>
      <c r="L53" s="2"/>
      <c r="M53" s="11"/>
      <c r="N53" s="12"/>
      <c r="O53" s="2"/>
    </row>
    <row r="54" spans="1:15" ht="15.5" thickTop="1" thickBot="1" x14ac:dyDescent="0.4">
      <c r="A54" s="6"/>
      <c r="B54" s="3"/>
      <c r="C54" s="6" t="str">
        <f>IF($A54="","",
   IF(COUNTIF($A$4:A54,$A54)&gt;1,
      "",
      SUMIF($A:$A,$A54,$B:$B)
   )
)</f>
        <v/>
      </c>
      <c r="D54" s="6" t="str">
        <f>IF($A54="","",
   IF(COUNTIF($A$4:A54,$A54)&gt;1,
      "",
      SUMIF($G:$G,$A54,$H:$H)
   )
)</f>
        <v/>
      </c>
      <c r="E54" s="6" t="str">
        <f>IF($A54="","", IF(COUNTIF($A$4:A54,$A54)&gt;1, "", IF(COUNTIF($G:$G,$A54)=0, "P/N not on MR", IF(SUMIF($A:$A,$A54,$B:$B)&lt;&gt;D54, "QTY Mismatch", "" ) ) ) )</f>
        <v/>
      </c>
      <c r="F54" s="2"/>
      <c r="G54" s="6"/>
      <c r="H54" s="3"/>
      <c r="I54" s="6" t="str">
        <f>IF($G54="","",
   IF(COUNTIF($G$4:G54,$G54)&gt;1,
      "",
      SUMIF($A:$A,$G54,$B:$B)
   )
)</f>
        <v/>
      </c>
      <c r="J54" s="6" t="str">
        <f>IF($G54="","",
   IF(COUNTIF($G$4:G54,$G54)&gt;1,
      "",
      SUMIF($G:$G,$G54,$H:$H)
   )
)</f>
        <v/>
      </c>
      <c r="K54" s="6" t="str">
        <f>IF($G54="","", IF(COUNTIF($G$4:G54,$G54)&gt;1, "", IF(COUNTIF($A:$A,$G54)=0, "P/N not on LPN", IF(SUMIF($G:$G,$G54,$H:$H)&lt;&gt;I54, "QTY Mismatch", "" ) ) ) )</f>
        <v/>
      </c>
      <c r="L54" s="2"/>
      <c r="M54" s="6"/>
      <c r="N54" s="3"/>
      <c r="O54" s="2"/>
    </row>
    <row r="55" spans="1:15" ht="15.5" thickTop="1" thickBot="1" x14ac:dyDescent="0.4">
      <c r="A55" s="11"/>
      <c r="B55" s="12"/>
      <c r="C55" s="11" t="str">
        <f>IF($A55="","",
   IF(COUNTIF($A$4:A55,$A55)&gt;1,
      "",
      SUMIF($A:$A,$A55,$B:$B)
   )
)</f>
        <v/>
      </c>
      <c r="D55" s="11" t="str">
        <f>IF($A55="","",
   IF(COUNTIF($A$4:A55,$A55)&gt;1,
      "",
      SUMIF($G:$G,$A55,$H:$H)
   )
)</f>
        <v/>
      </c>
      <c r="E55" s="11" t="str">
        <f>IF($A55="","", IF(COUNTIF($A$4:A55,$A55)&gt;1, "", IF(COUNTIF($G:$G,$A55)=0, "P/N not on MR", IF(SUMIF($A:$A,$A55,$B:$B)&lt;&gt;D55, "QTY Mismatch", "" ) ) ) )</f>
        <v/>
      </c>
      <c r="F55" s="2"/>
      <c r="G55" s="11"/>
      <c r="H55" s="12"/>
      <c r="I55" s="11" t="str">
        <f>IF($G55="","",
   IF(COUNTIF($G$4:G55,$G55)&gt;1,
      "",
      SUMIF($A:$A,$G55,$B:$B)
   )
)</f>
        <v/>
      </c>
      <c r="J55" s="11" t="str">
        <f>IF($G55="","",
   IF(COUNTIF($G$4:G55,$G55)&gt;1,
      "",
      SUMIF($G:$G,$G55,$H:$H)
   )
)</f>
        <v/>
      </c>
      <c r="K55" s="11" t="str">
        <f>IF($G55="","", IF(COUNTIF($G$4:G55,$G55)&gt;1, "", IF(COUNTIF($A:$A,$G55)=0, "P/N not on LPN", IF(SUMIF($G:$G,$G55,$H:$H)&lt;&gt;I55, "QTY Mismatch", "" ) ) ) )</f>
        <v/>
      </c>
      <c r="L55" s="2"/>
      <c r="M55" s="11"/>
      <c r="N55" s="12"/>
      <c r="O55" s="2"/>
    </row>
    <row r="56" spans="1:15" ht="15.5" thickTop="1" thickBot="1" x14ac:dyDescent="0.4">
      <c r="A56" s="6"/>
      <c r="B56" s="3"/>
      <c r="C56" s="6" t="str">
        <f>IF($A56="","",
   IF(COUNTIF($A$4:A56,$A56)&gt;1,
      "",
      SUMIF($A:$A,$A56,$B:$B)
   )
)</f>
        <v/>
      </c>
      <c r="D56" s="6" t="str">
        <f>IF($A56="","",
   IF(COUNTIF($A$4:A56,$A56)&gt;1,
      "",
      SUMIF($G:$G,$A56,$H:$H)
   )
)</f>
        <v/>
      </c>
      <c r="E56" s="6" t="str">
        <f>IF($A56="","", IF(COUNTIF($A$4:A56,$A56)&gt;1, "", IF(COUNTIF($G:$G,$A56)=0, "P/N not on MR", IF(SUMIF($A:$A,$A56,$B:$B)&lt;&gt;D56, "QTY Mismatch", "" ) ) ) )</f>
        <v/>
      </c>
      <c r="F56" s="2"/>
      <c r="G56" s="6"/>
      <c r="H56" s="3"/>
      <c r="I56" s="6" t="str">
        <f>IF($G56="","",
   IF(COUNTIF($G$4:G56,$G56)&gt;1,
      "",
      SUMIF($A:$A,$G56,$B:$B)
   )
)</f>
        <v/>
      </c>
      <c r="J56" s="6" t="str">
        <f>IF($G56="","",
   IF(COUNTIF($G$4:G56,$G56)&gt;1,
      "",
      SUMIF($G:$G,$G56,$H:$H)
   )
)</f>
        <v/>
      </c>
      <c r="K56" s="6" t="str">
        <f>IF($G56="","", IF(COUNTIF($G$4:G56,$G56)&gt;1, "", IF(COUNTIF($A:$A,$G56)=0, "P/N not on LPN", IF(SUMIF($G:$G,$G56,$H:$H)&lt;&gt;I56, "QTY Mismatch", "" ) ) ) )</f>
        <v/>
      </c>
      <c r="L56" s="2"/>
      <c r="M56" s="6"/>
      <c r="N56" s="3"/>
      <c r="O56" s="2"/>
    </row>
    <row r="57" spans="1:15" ht="15.5" thickTop="1" thickBot="1" x14ac:dyDescent="0.4">
      <c r="A57" s="11"/>
      <c r="B57" s="12"/>
      <c r="C57" s="11" t="str">
        <f>IF($A57="","",
   IF(COUNTIF($A$4:A57,$A57)&gt;1,
      "",
      SUMIF($A:$A,$A57,$B:$B)
   )
)</f>
        <v/>
      </c>
      <c r="D57" s="11" t="str">
        <f>IF($A57="","",
   IF(COUNTIF($A$4:A57,$A57)&gt;1,
      "",
      SUMIF($G:$G,$A57,$H:$H)
   )
)</f>
        <v/>
      </c>
      <c r="E57" s="11" t="str">
        <f>IF($A57="","", IF(COUNTIF($A$4:A57,$A57)&gt;1, "", IF(COUNTIF($G:$G,$A57)=0, "P/N not on MR", IF(SUMIF($A:$A,$A57,$B:$B)&lt;&gt;D57, "QTY Mismatch", "" ) ) ) )</f>
        <v/>
      </c>
      <c r="F57" s="2"/>
      <c r="G57" s="11"/>
      <c r="H57" s="12"/>
      <c r="I57" s="11" t="str">
        <f>IF($G57="","",
   IF(COUNTIF($G$4:G57,$G57)&gt;1,
      "",
      SUMIF($A:$A,$G57,$B:$B)
   )
)</f>
        <v/>
      </c>
      <c r="J57" s="11" t="str">
        <f>IF($G57="","",
   IF(COUNTIF($G$4:G57,$G57)&gt;1,
      "",
      SUMIF($G:$G,$G57,$H:$H)
   )
)</f>
        <v/>
      </c>
      <c r="K57" s="11" t="str">
        <f>IF($G57="","", IF(COUNTIF($G$4:G57,$G57)&gt;1, "", IF(COUNTIF($A:$A,$G57)=0, "P/N not on LPN", IF(SUMIF($G:$G,$G57,$H:$H)&lt;&gt;I57, "QTY Mismatch", "" ) ) ) )</f>
        <v/>
      </c>
      <c r="L57" s="2"/>
      <c r="M57" s="11"/>
      <c r="N57" s="12"/>
      <c r="O57" s="2"/>
    </row>
    <row r="58" spans="1:15" ht="15.5" thickTop="1" thickBot="1" x14ac:dyDescent="0.4">
      <c r="A58" s="6"/>
      <c r="B58" s="3"/>
      <c r="C58" s="6" t="str">
        <f>IF($A58="","",
   IF(COUNTIF($A$4:A58,$A58)&gt;1,
      "",
      SUMIF($A:$A,$A58,$B:$B)
   )
)</f>
        <v/>
      </c>
      <c r="D58" s="6" t="str">
        <f>IF($A58="","",
   IF(COUNTIF($A$4:A58,$A58)&gt;1,
      "",
      SUMIF($G:$G,$A58,$H:$H)
   )
)</f>
        <v/>
      </c>
      <c r="E58" s="6" t="str">
        <f>IF($A58="","", IF(COUNTIF($A$4:A58,$A58)&gt;1, "", IF(COUNTIF($G:$G,$A58)=0, "P/N not on MR", IF(SUMIF($A:$A,$A58,$B:$B)&lt;&gt;D58, "QTY Mismatch", "" ) ) ) )</f>
        <v/>
      </c>
      <c r="F58" s="2"/>
      <c r="G58" s="6"/>
      <c r="H58" s="3"/>
      <c r="I58" s="6" t="str">
        <f>IF($G58="","",
   IF(COUNTIF($G$4:G58,$G58)&gt;1,
      "",
      SUMIF($A:$A,$G58,$B:$B)
   )
)</f>
        <v/>
      </c>
      <c r="J58" s="6" t="str">
        <f>IF($G58="","",
   IF(COUNTIF($G$4:G58,$G58)&gt;1,
      "",
      SUMIF($G:$G,$G58,$H:$H)
   )
)</f>
        <v/>
      </c>
      <c r="K58" s="6" t="str">
        <f>IF($G58="","", IF(COUNTIF($G$4:G58,$G58)&gt;1, "", IF(COUNTIF($A:$A,$G58)=0, "P/N not on LPN", IF(SUMIF($G:$G,$G58,$H:$H)&lt;&gt;I58, "QTY Mismatch", "" ) ) ) )</f>
        <v/>
      </c>
      <c r="L58" s="2"/>
      <c r="M58" s="6"/>
      <c r="N58" s="3"/>
      <c r="O58" s="2"/>
    </row>
    <row r="59" spans="1:15" ht="15.5" thickTop="1" thickBot="1" x14ac:dyDescent="0.4">
      <c r="A59" s="11"/>
      <c r="B59" s="12"/>
      <c r="C59" s="11" t="str">
        <f>IF($A59="","",
   IF(COUNTIF($A$4:A59,$A59)&gt;1,
      "",
      SUMIF($A:$A,$A59,$B:$B)
   )
)</f>
        <v/>
      </c>
      <c r="D59" s="11" t="str">
        <f>IF($A59="","",
   IF(COUNTIF($A$4:A59,$A59)&gt;1,
      "",
      SUMIF($G:$G,$A59,$H:$H)
   )
)</f>
        <v/>
      </c>
      <c r="E59" s="11" t="str">
        <f>IF($A59="","", IF(COUNTIF($A$4:A59,$A59)&gt;1, "", IF(COUNTIF($G:$G,$A59)=0, "P/N not on MR", IF(SUMIF($A:$A,$A59,$B:$B)&lt;&gt;D59, "QTY Mismatch", "" ) ) ) )</f>
        <v/>
      </c>
      <c r="F59" s="2"/>
      <c r="G59" s="11"/>
      <c r="H59" s="12"/>
      <c r="I59" s="11" t="str">
        <f>IF($G59="","",
   IF(COUNTIF($G$4:G59,$G59)&gt;1,
      "",
      SUMIF($A:$A,$G59,$B:$B)
   )
)</f>
        <v/>
      </c>
      <c r="J59" s="11" t="str">
        <f>IF($G59="","",
   IF(COUNTIF($G$4:G59,$G59)&gt;1,
      "",
      SUMIF($G:$G,$G59,$H:$H)
   )
)</f>
        <v/>
      </c>
      <c r="K59" s="11" t="str">
        <f>IF($G59="","", IF(COUNTIF($G$4:G59,$G59)&gt;1, "", IF(COUNTIF($A:$A,$G59)=0, "P/N not on LPN", IF(SUMIF($G:$G,$G59,$H:$H)&lt;&gt;I59, "QTY Mismatch", "" ) ) ) )</f>
        <v/>
      </c>
      <c r="L59" s="2"/>
      <c r="M59" s="11"/>
      <c r="N59" s="12"/>
      <c r="O59" s="2"/>
    </row>
    <row r="60" spans="1:15" ht="15.5" thickTop="1" thickBot="1" x14ac:dyDescent="0.4">
      <c r="A60" s="6"/>
      <c r="B60" s="3"/>
      <c r="C60" s="6" t="str">
        <f>IF($A60="","",
   IF(COUNTIF($A$4:A60,$A60)&gt;1,
      "",
      SUMIF($A:$A,$A60,$B:$B)
   )
)</f>
        <v/>
      </c>
      <c r="D60" s="6" t="str">
        <f>IF($A60="","",
   IF(COUNTIF($A$4:A60,$A60)&gt;1,
      "",
      SUMIF($G:$G,$A60,$H:$H)
   )
)</f>
        <v/>
      </c>
      <c r="E60" s="6" t="str">
        <f>IF($A60="","", IF(COUNTIF($A$4:A60,$A60)&gt;1, "", IF(COUNTIF($G:$G,$A60)=0, "P/N not on MR", IF(SUMIF($A:$A,$A60,$B:$B)&lt;&gt;D60, "QTY Mismatch", "" ) ) ) )</f>
        <v/>
      </c>
      <c r="F60" s="2"/>
      <c r="G60" s="6"/>
      <c r="H60" s="3"/>
      <c r="I60" s="6" t="str">
        <f>IF($G60="","",
   IF(COUNTIF($G$4:G60,$G60)&gt;1,
      "",
      SUMIF($A:$A,$G60,$B:$B)
   )
)</f>
        <v/>
      </c>
      <c r="J60" s="6" t="str">
        <f>IF($G60="","",
   IF(COUNTIF($G$4:G60,$G60)&gt;1,
      "",
      SUMIF($G:$G,$G60,$H:$H)
   )
)</f>
        <v/>
      </c>
      <c r="K60" s="6" t="str">
        <f>IF($G60="","", IF(COUNTIF($G$4:G60,$G60)&gt;1, "", IF(COUNTIF($A:$A,$G60)=0, "P/N not on LPN", IF(SUMIF($G:$G,$G60,$H:$H)&lt;&gt;I60, "QTY Mismatch", "" ) ) ) )</f>
        <v/>
      </c>
      <c r="L60" s="2"/>
      <c r="M60" s="6"/>
      <c r="N60" s="3"/>
      <c r="O60" s="2"/>
    </row>
    <row r="61" spans="1:15" ht="15.5" thickTop="1" thickBot="1" x14ac:dyDescent="0.4">
      <c r="A61" s="11"/>
      <c r="B61" s="12"/>
      <c r="C61" s="11" t="str">
        <f>IF($A61="","",
   IF(COUNTIF($A$4:A61,$A61)&gt;1,
      "",
      SUMIF($A:$A,$A61,$B:$B)
   )
)</f>
        <v/>
      </c>
      <c r="D61" s="11" t="str">
        <f>IF($A61="","",
   IF(COUNTIF($A$4:A61,$A61)&gt;1,
      "",
      SUMIF($G:$G,$A61,$H:$H)
   )
)</f>
        <v/>
      </c>
      <c r="E61" s="11" t="str">
        <f>IF($A61="","", IF(COUNTIF($A$4:A61,$A61)&gt;1, "", IF(COUNTIF($G:$G,$A61)=0, "P/N not on MR", IF(SUMIF($A:$A,$A61,$B:$B)&lt;&gt;D61, "QTY Mismatch", "" ) ) ) )</f>
        <v/>
      </c>
      <c r="F61" s="2"/>
      <c r="G61" s="11"/>
      <c r="H61" s="12"/>
      <c r="I61" s="11" t="str">
        <f>IF($G61="","",
   IF(COUNTIF($G$4:G61,$G61)&gt;1,
      "",
      SUMIF($A:$A,$G61,$B:$B)
   )
)</f>
        <v/>
      </c>
      <c r="J61" s="11" t="str">
        <f>IF($G61="","",
   IF(COUNTIF($G$4:G61,$G61)&gt;1,
      "",
      SUMIF($G:$G,$G61,$H:$H)
   )
)</f>
        <v/>
      </c>
      <c r="K61" s="11" t="str">
        <f>IF($G61="","", IF(COUNTIF($G$4:G61,$G61)&gt;1, "", IF(COUNTIF($A:$A,$G61)=0, "P/N not on LPN", IF(SUMIF($G:$G,$G61,$H:$H)&lt;&gt;I61, "QTY Mismatch", "" ) ) ) )</f>
        <v/>
      </c>
      <c r="L61" s="2"/>
      <c r="M61" s="11"/>
      <c r="N61" s="12"/>
      <c r="O61" s="2"/>
    </row>
    <row r="62" spans="1:15" ht="15.5" thickTop="1" thickBot="1" x14ac:dyDescent="0.4">
      <c r="A62" s="6"/>
      <c r="B62" s="3"/>
      <c r="C62" s="6" t="str">
        <f>IF($A62="","",
   IF(COUNTIF($A$4:A62,$A62)&gt;1,
      "",
      SUMIF($A:$A,$A62,$B:$B)
   )
)</f>
        <v/>
      </c>
      <c r="D62" s="6" t="str">
        <f>IF($A62="","",
   IF(COUNTIF($A$4:A62,$A62)&gt;1,
      "",
      SUMIF($G:$G,$A62,$H:$H)
   )
)</f>
        <v/>
      </c>
      <c r="E62" s="6" t="str">
        <f>IF($A62="","", IF(COUNTIF($A$4:A62,$A62)&gt;1, "", IF(COUNTIF($G:$G,$A62)=0, "P/N not on MR", IF(SUMIF($A:$A,$A62,$B:$B)&lt;&gt;D62, "QTY Mismatch", "" ) ) ) )</f>
        <v/>
      </c>
      <c r="F62" s="2"/>
      <c r="G62" s="6"/>
      <c r="H62" s="3"/>
      <c r="I62" s="6" t="str">
        <f>IF($G62="","",
   IF(COUNTIF($G$4:G62,$G62)&gt;1,
      "",
      SUMIF($A:$A,$G62,$B:$B)
   )
)</f>
        <v/>
      </c>
      <c r="J62" s="6" t="str">
        <f>IF($G62="","",
   IF(COUNTIF($G$4:G62,$G62)&gt;1,
      "",
      SUMIF($G:$G,$G62,$H:$H)
   )
)</f>
        <v/>
      </c>
      <c r="K62" s="6" t="str">
        <f>IF($G62="","", IF(COUNTIF($G$4:G62,$G62)&gt;1, "", IF(COUNTIF($A:$A,$G62)=0, "P/N not on LPN", IF(SUMIF($G:$G,$G62,$H:$H)&lt;&gt;I62, "QTY Mismatch", "" ) ) ) )</f>
        <v/>
      </c>
      <c r="L62" s="2"/>
      <c r="M62" s="6"/>
      <c r="N62" s="3"/>
      <c r="O62" s="2"/>
    </row>
    <row r="63" spans="1:15" ht="15.5" thickTop="1" thickBot="1" x14ac:dyDescent="0.4">
      <c r="A63" s="11"/>
      <c r="B63" s="12"/>
      <c r="C63" s="11" t="str">
        <f>IF($A63="","",
   IF(COUNTIF($A$4:A63,$A63)&gt;1,
      "",
      SUMIF($A:$A,$A63,$B:$B)
   )
)</f>
        <v/>
      </c>
      <c r="D63" s="11" t="str">
        <f>IF($A63="","",
   IF(COUNTIF($A$4:A63,$A63)&gt;1,
      "",
      SUMIF($G:$G,$A63,$H:$H)
   )
)</f>
        <v/>
      </c>
      <c r="E63" s="11" t="str">
        <f>IF($A63="","", IF(COUNTIF($A$4:A63,$A63)&gt;1, "", IF(COUNTIF($G:$G,$A63)=0, "P/N not on MR", IF(SUMIF($A:$A,$A63,$B:$B)&lt;&gt;D63, "QTY Mismatch", "" ) ) ) )</f>
        <v/>
      </c>
      <c r="F63" s="2"/>
      <c r="G63" s="11"/>
      <c r="H63" s="12"/>
      <c r="I63" s="11" t="str">
        <f>IF($G63="","",
   IF(COUNTIF($G$4:G63,$G63)&gt;1,
      "",
      SUMIF($A:$A,$G63,$B:$B)
   )
)</f>
        <v/>
      </c>
      <c r="J63" s="11" t="str">
        <f>IF($G63="","",
   IF(COUNTIF($G$4:G63,$G63)&gt;1,
      "",
      SUMIF($G:$G,$G63,$H:$H)
   )
)</f>
        <v/>
      </c>
      <c r="K63" s="11" t="str">
        <f>IF($G63="","", IF(COUNTIF($G$4:G63,$G63)&gt;1, "", IF(COUNTIF($A:$A,$G63)=0, "P/N not on LPN", IF(SUMIF($G:$G,$G63,$H:$H)&lt;&gt;I63, "QTY Mismatch", "" ) ) ) )</f>
        <v/>
      </c>
      <c r="L63" s="2"/>
      <c r="M63" s="11"/>
      <c r="N63" s="12"/>
      <c r="O63" s="2"/>
    </row>
    <row r="64" spans="1:15" ht="15.5" thickTop="1" thickBot="1" x14ac:dyDescent="0.4">
      <c r="A64" s="6"/>
      <c r="B64" s="3"/>
      <c r="C64" s="6" t="str">
        <f>IF($A64="","",
   IF(COUNTIF($A$4:A64,$A64)&gt;1,
      "",
      SUMIF($A:$A,$A64,$B:$B)
   )
)</f>
        <v/>
      </c>
      <c r="D64" s="6" t="str">
        <f>IF($A64="","",
   IF(COUNTIF($A$4:A64,$A64)&gt;1,
      "",
      SUMIF($G:$G,$A64,$H:$H)
   )
)</f>
        <v/>
      </c>
      <c r="E64" s="6" t="str">
        <f>IF($A64="","", IF(COUNTIF($A$4:A64,$A64)&gt;1, "", IF(COUNTIF($G:$G,$A64)=0, "P/N not on MR", IF(SUMIF($A:$A,$A64,$B:$B)&lt;&gt;D64, "QTY Mismatch", "" ) ) ) )</f>
        <v/>
      </c>
      <c r="F64" s="2"/>
      <c r="G64" s="6"/>
      <c r="H64" s="3"/>
      <c r="I64" s="6" t="str">
        <f>IF($G64="","",
   IF(COUNTIF($G$4:G64,$G64)&gt;1,
      "",
      SUMIF($A:$A,$G64,$B:$B)
   )
)</f>
        <v/>
      </c>
      <c r="J64" s="6" t="str">
        <f>IF($G64="","",
   IF(COUNTIF($G$4:G64,$G64)&gt;1,
      "",
      SUMIF($G:$G,$G64,$H:$H)
   )
)</f>
        <v/>
      </c>
      <c r="K64" s="6" t="str">
        <f>IF($G64="","", IF(COUNTIF($G$4:G64,$G64)&gt;1, "", IF(COUNTIF($A:$A,$G64)=0, "P/N not on LPN", IF(SUMIF($G:$G,$G64,$H:$H)&lt;&gt;I64, "QTY Mismatch", "" ) ) ) )</f>
        <v/>
      </c>
      <c r="L64" s="2"/>
      <c r="M64" s="6"/>
      <c r="N64" s="3"/>
      <c r="O64" s="2"/>
    </row>
    <row r="65" spans="1:15" ht="15.5" thickTop="1" thickBot="1" x14ac:dyDescent="0.4">
      <c r="A65" s="11"/>
      <c r="B65" s="12"/>
      <c r="C65" s="11" t="str">
        <f>IF($A65="","",
   IF(COUNTIF($A$4:A65,$A65)&gt;1,
      "",
      SUMIF($A:$A,$A65,$B:$B)
   )
)</f>
        <v/>
      </c>
      <c r="D65" s="11" t="str">
        <f>IF($A65="","",
   IF(COUNTIF($A$4:A65,$A65)&gt;1,
      "",
      SUMIF($G:$G,$A65,$H:$H)
   )
)</f>
        <v/>
      </c>
      <c r="E65" s="11" t="str">
        <f>IF($A65="","", IF(COUNTIF($A$4:A65,$A65)&gt;1, "", IF(COUNTIF($G:$G,$A65)=0, "P/N not on MR", IF(SUMIF($A:$A,$A65,$B:$B)&lt;&gt;D65, "QTY Mismatch", "" ) ) ) )</f>
        <v/>
      </c>
      <c r="F65" s="2"/>
      <c r="G65" s="11"/>
      <c r="H65" s="12"/>
      <c r="I65" s="11" t="str">
        <f>IF($G65="","",
   IF(COUNTIF($G$4:G65,$G65)&gt;1,
      "",
      SUMIF($A:$A,$G65,$B:$B)
   )
)</f>
        <v/>
      </c>
      <c r="J65" s="11" t="str">
        <f>IF($G65="","",
   IF(COUNTIF($G$4:G65,$G65)&gt;1,
      "",
      SUMIF($G:$G,$G65,$H:$H)
   )
)</f>
        <v/>
      </c>
      <c r="K65" s="11" t="str">
        <f>IF($G65="","", IF(COUNTIF($G$4:G65,$G65)&gt;1, "", IF(COUNTIF($A:$A,$G65)=0, "P/N not on LPN", IF(SUMIF($G:$G,$G65,$H:$H)&lt;&gt;I65, "QTY Mismatch", "" ) ) ) )</f>
        <v/>
      </c>
      <c r="L65" s="2"/>
      <c r="M65" s="11"/>
      <c r="N65" s="12"/>
      <c r="O65" s="2"/>
    </row>
    <row r="66" spans="1:15" ht="15.5" thickTop="1" thickBot="1" x14ac:dyDescent="0.4">
      <c r="A66" s="6"/>
      <c r="B66" s="3"/>
      <c r="C66" s="6" t="str">
        <f>IF($A66="","",
   IF(COUNTIF($A$4:A66,$A66)&gt;1,
      "",
      SUMIF($A:$A,$A66,$B:$B)
   )
)</f>
        <v/>
      </c>
      <c r="D66" s="6" t="str">
        <f>IF($A66="","",
   IF(COUNTIF($A$4:A66,$A66)&gt;1,
      "",
      SUMIF($G:$G,$A66,$H:$H)
   )
)</f>
        <v/>
      </c>
      <c r="E66" s="6" t="str">
        <f>IF($A66="","", IF(COUNTIF($A$4:A66,$A66)&gt;1, "", IF(COUNTIF($G:$G,$A66)=0, "P/N not on MR", IF(SUMIF($A:$A,$A66,$B:$B)&lt;&gt;D66, "QTY Mismatch", "" ) ) ) )</f>
        <v/>
      </c>
      <c r="F66" s="2"/>
      <c r="G66" s="6"/>
      <c r="H66" s="3"/>
      <c r="I66" s="6" t="str">
        <f>IF($G66="","",
   IF(COUNTIF($G$4:G66,$G66)&gt;1,
      "",
      SUMIF($A:$A,$G66,$B:$B)
   )
)</f>
        <v/>
      </c>
      <c r="J66" s="6" t="str">
        <f>IF($G66="","",
   IF(COUNTIF($G$4:G66,$G66)&gt;1,
      "",
      SUMIF($G:$G,$G66,$H:$H)
   )
)</f>
        <v/>
      </c>
      <c r="K66" s="6" t="str">
        <f>IF($G66="","", IF(COUNTIF($G$4:G66,$G66)&gt;1, "", IF(COUNTIF($A:$A,$G66)=0, "P/N not on LPN", IF(SUMIF($G:$G,$G66,$H:$H)&lt;&gt;I66, "QTY Mismatch", "" ) ) ) )</f>
        <v/>
      </c>
      <c r="L66" s="2"/>
      <c r="M66" s="6"/>
      <c r="N66" s="3"/>
      <c r="O66" s="2"/>
    </row>
    <row r="67" spans="1:15" ht="15.5" thickTop="1" thickBot="1" x14ac:dyDescent="0.4">
      <c r="A67" s="11"/>
      <c r="B67" s="12"/>
      <c r="C67" s="11" t="str">
        <f>IF($A67="","",
   IF(COUNTIF($A$4:A67,$A67)&gt;1,
      "",
      SUMIF($A:$A,$A67,$B:$B)
   )
)</f>
        <v/>
      </c>
      <c r="D67" s="11" t="str">
        <f>IF($A67="","",
   IF(COUNTIF($A$4:A67,$A67)&gt;1,
      "",
      SUMIF($G:$G,$A67,$H:$H)
   )
)</f>
        <v/>
      </c>
      <c r="E67" s="11" t="str">
        <f>IF($A67="","", IF(COUNTIF($A$4:A67,$A67)&gt;1, "", IF(COUNTIF($G:$G,$A67)=0, "P/N not on MR", IF(SUMIF($A:$A,$A67,$B:$B)&lt;&gt;D67, "QTY Mismatch", "" ) ) ) )</f>
        <v/>
      </c>
      <c r="F67" s="2"/>
      <c r="G67" s="11"/>
      <c r="H67" s="12"/>
      <c r="I67" s="11" t="str">
        <f>IF($G67="","",
   IF(COUNTIF($G$4:G67,$G67)&gt;1,
      "",
      SUMIF($A:$A,$G67,$B:$B)
   )
)</f>
        <v/>
      </c>
      <c r="J67" s="11" t="str">
        <f>IF($G67="","",
   IF(COUNTIF($G$4:G67,$G67)&gt;1,
      "",
      SUMIF($G:$G,$G67,$H:$H)
   )
)</f>
        <v/>
      </c>
      <c r="K67" s="11" t="str">
        <f>IF($G67="","", IF(COUNTIF($G$4:G67,$G67)&gt;1, "", IF(COUNTIF($A:$A,$G67)=0, "P/N not on LPN", IF(SUMIF($G:$G,$G67,$H:$H)&lt;&gt;I67, "QTY Mismatch", "" ) ) ) )</f>
        <v/>
      </c>
      <c r="L67" s="2"/>
      <c r="M67" s="11"/>
      <c r="N67" s="12"/>
      <c r="O67" s="2"/>
    </row>
    <row r="68" spans="1:15" ht="15.5" thickTop="1" thickBot="1" x14ac:dyDescent="0.4">
      <c r="A68" s="6"/>
      <c r="B68" s="3"/>
      <c r="C68" s="6" t="str">
        <f>IF($A68="","",
   IF(COUNTIF($A$4:A68,$A68)&gt;1,
      "",
      SUMIF($A:$A,$A68,$B:$B)
   )
)</f>
        <v/>
      </c>
      <c r="D68" s="6" t="str">
        <f>IF($A68="","",
   IF(COUNTIF($A$4:A68,$A68)&gt;1,
      "",
      SUMIF($G:$G,$A68,$H:$H)
   )
)</f>
        <v/>
      </c>
      <c r="E68" s="6" t="str">
        <f>IF($A68="","", IF(COUNTIF($A$4:A68,$A68)&gt;1, "", IF(COUNTIF($G:$G,$A68)=0, "P/N not on MR", IF(SUMIF($A:$A,$A68,$B:$B)&lt;&gt;D68, "QTY Mismatch", "" ) ) ) )</f>
        <v/>
      </c>
      <c r="F68" s="2"/>
      <c r="G68" s="6"/>
      <c r="H68" s="3"/>
      <c r="I68" s="6" t="str">
        <f>IF($G68="","",
   IF(COUNTIF($G$4:G68,$G68)&gt;1,
      "",
      SUMIF($A:$A,$G68,$B:$B)
   )
)</f>
        <v/>
      </c>
      <c r="J68" s="6" t="str">
        <f>IF($G68="","",
   IF(COUNTIF($G$4:G68,$G68)&gt;1,
      "",
      SUMIF($G:$G,$G68,$H:$H)
   )
)</f>
        <v/>
      </c>
      <c r="K68" s="6" t="str">
        <f>IF($G68="","", IF(COUNTIF($G$4:G68,$G68)&gt;1, "", IF(COUNTIF($A:$A,$G68)=0, "P/N not on LPN", IF(SUMIF($G:$G,$G68,$H:$H)&lt;&gt;I68, "QTY Mismatch", "" ) ) ) )</f>
        <v/>
      </c>
      <c r="L68" s="2"/>
      <c r="M68" s="6"/>
      <c r="N68" s="3"/>
      <c r="O68" s="2"/>
    </row>
    <row r="69" spans="1:15" ht="15.5" thickTop="1" thickBot="1" x14ac:dyDescent="0.4">
      <c r="A69" s="11"/>
      <c r="B69" s="12"/>
      <c r="C69" s="11" t="str">
        <f>IF($A69="","",
   IF(COUNTIF($A$4:A69,$A69)&gt;1,
      "",
      SUMIF($A:$A,$A69,$B:$B)
   )
)</f>
        <v/>
      </c>
      <c r="D69" s="11" t="str">
        <f>IF($A69="","",
   IF(COUNTIF($A$4:A69,$A69)&gt;1,
      "",
      SUMIF($G:$G,$A69,$H:$H)
   )
)</f>
        <v/>
      </c>
      <c r="E69" s="11" t="str">
        <f>IF($A69="","", IF(COUNTIF($A$4:A69,$A69)&gt;1, "", IF(COUNTIF($G:$G,$A69)=0, "P/N not on MR", IF(SUMIF($A:$A,$A69,$B:$B)&lt;&gt;D69, "QTY Mismatch", "" ) ) ) )</f>
        <v/>
      </c>
      <c r="F69" s="2"/>
      <c r="G69" s="11"/>
      <c r="H69" s="12"/>
      <c r="I69" s="11" t="str">
        <f>IF($G69="","",
   IF(COUNTIF($G$4:G69,$G69)&gt;1,
      "",
      SUMIF($A:$A,$G69,$B:$B)
   )
)</f>
        <v/>
      </c>
      <c r="J69" s="11" t="str">
        <f>IF($G69="","",
   IF(COUNTIF($G$4:G69,$G69)&gt;1,
      "",
      SUMIF($G:$G,$G69,$H:$H)
   )
)</f>
        <v/>
      </c>
      <c r="K69" s="11" t="str">
        <f>IF($G69="","", IF(COUNTIF($G$4:G69,$G69)&gt;1, "", IF(COUNTIF($A:$A,$G69)=0, "P/N not on LPN", IF(SUMIF($G:$G,$G69,$H:$H)&lt;&gt;I69, "QTY Mismatch", "" ) ) ) )</f>
        <v/>
      </c>
      <c r="L69" s="2"/>
      <c r="M69" s="11"/>
      <c r="N69" s="12"/>
      <c r="O69" s="2"/>
    </row>
    <row r="70" spans="1:15" ht="15.5" thickTop="1" thickBot="1" x14ac:dyDescent="0.4">
      <c r="A70" s="6"/>
      <c r="B70" s="3"/>
      <c r="C70" s="6" t="str">
        <f>IF($A70="","",
   IF(COUNTIF($A$4:A70,$A70)&gt;1,
      "",
      SUMIF($A:$A,$A70,$B:$B)
   )
)</f>
        <v/>
      </c>
      <c r="D70" s="6" t="str">
        <f>IF($A70="","",
   IF(COUNTIF($A$4:A70,$A70)&gt;1,
      "",
      SUMIF($G:$G,$A70,$H:$H)
   )
)</f>
        <v/>
      </c>
      <c r="E70" s="6" t="str">
        <f>IF($A70="","", IF(COUNTIF($A$4:A70,$A70)&gt;1, "", IF(COUNTIF($G:$G,$A70)=0, "P/N not on MR", IF(SUMIF($A:$A,$A70,$B:$B)&lt;&gt;D70, "QTY Mismatch", "" ) ) ) )</f>
        <v/>
      </c>
      <c r="F70" s="2"/>
      <c r="G70" s="6"/>
      <c r="H70" s="3"/>
      <c r="I70" s="6" t="str">
        <f>IF($G70="","",
   IF(COUNTIF($G$4:G70,$G70)&gt;1,
      "",
      SUMIF($A:$A,$G70,$B:$B)
   )
)</f>
        <v/>
      </c>
      <c r="J70" s="6" t="str">
        <f>IF($G70="","",
   IF(COUNTIF($G$4:G70,$G70)&gt;1,
      "",
      SUMIF($G:$G,$G70,$H:$H)
   )
)</f>
        <v/>
      </c>
      <c r="K70" s="6" t="str">
        <f>IF($G70="","", IF(COUNTIF($G$4:G70,$G70)&gt;1, "", IF(COUNTIF($A:$A,$G70)=0, "P/N not on LPN", IF(SUMIF($G:$G,$G70,$H:$H)&lt;&gt;I70, "QTY Mismatch", "" ) ) ) )</f>
        <v/>
      </c>
      <c r="L70" s="2"/>
      <c r="M70" s="6"/>
      <c r="N70" s="3"/>
      <c r="O70" s="2"/>
    </row>
    <row r="71" spans="1:15" ht="15.5" thickTop="1" thickBot="1" x14ac:dyDescent="0.4">
      <c r="A71" s="11"/>
      <c r="B71" s="12"/>
      <c r="C71" s="11" t="str">
        <f>IF($A71="","",
   IF(COUNTIF($A$4:A71,$A71)&gt;1,
      "",
      SUMIF($A:$A,$A71,$B:$B)
   )
)</f>
        <v/>
      </c>
      <c r="D71" s="11" t="str">
        <f>IF($A71="","",
   IF(COUNTIF($A$4:A71,$A71)&gt;1,
      "",
      SUMIF($G:$G,$A71,$H:$H)
   )
)</f>
        <v/>
      </c>
      <c r="E71" s="11" t="str">
        <f>IF($A71="","", IF(COUNTIF($A$4:A71,$A71)&gt;1, "", IF(COUNTIF($G:$G,$A71)=0, "P/N not on MR", IF(SUMIF($A:$A,$A71,$B:$B)&lt;&gt;D71, "QTY Mismatch", "" ) ) ) )</f>
        <v/>
      </c>
      <c r="F71" s="2"/>
      <c r="G71" s="11"/>
      <c r="H71" s="12"/>
      <c r="I71" s="11" t="str">
        <f>IF($G71="","",
   IF(COUNTIF($G$4:G71,$G71)&gt;1,
      "",
      SUMIF($A:$A,$G71,$B:$B)
   )
)</f>
        <v/>
      </c>
      <c r="J71" s="11" t="str">
        <f>IF($G71="","",
   IF(COUNTIF($G$4:G71,$G71)&gt;1,
      "",
      SUMIF($G:$G,$G71,$H:$H)
   )
)</f>
        <v/>
      </c>
      <c r="K71" s="11" t="str">
        <f>IF($G71="","", IF(COUNTIF($G$4:G71,$G71)&gt;1, "", IF(COUNTIF($A:$A,$G71)=0, "P/N not on LPN", IF(SUMIF($G:$G,$G71,$H:$H)&lt;&gt;I71, "QTY Mismatch", "" ) ) ) )</f>
        <v/>
      </c>
      <c r="L71" s="2"/>
      <c r="M71" s="11"/>
      <c r="N71" s="12"/>
      <c r="O71" s="2"/>
    </row>
    <row r="72" spans="1:15" ht="15.5" thickTop="1" thickBot="1" x14ac:dyDescent="0.4">
      <c r="A72" s="6"/>
      <c r="B72" s="3"/>
      <c r="C72" s="6" t="str">
        <f>IF($A72="","",
   IF(COUNTIF($A$4:A72,$A72)&gt;1,
      "",
      SUMIF($A:$A,$A72,$B:$B)
   )
)</f>
        <v/>
      </c>
      <c r="D72" s="6" t="str">
        <f>IF($A72="","",
   IF(COUNTIF($A$4:A72,$A72)&gt;1,
      "",
      SUMIF($G:$G,$A72,$H:$H)
   )
)</f>
        <v/>
      </c>
      <c r="E72" s="6" t="str">
        <f>IF($A72="","", IF(COUNTIF($A$4:A72,$A72)&gt;1, "", IF(COUNTIF($G:$G,$A72)=0, "P/N not on MR", IF(SUMIF($A:$A,$A72,$B:$B)&lt;&gt;D72, "QTY Mismatch", "" ) ) ) )</f>
        <v/>
      </c>
      <c r="F72" s="2"/>
      <c r="G72" s="6"/>
      <c r="H72" s="3"/>
      <c r="I72" s="6" t="str">
        <f>IF($G72="","",
   IF(COUNTIF($G$4:G72,$G72)&gt;1,
      "",
      SUMIF($A:$A,$G72,$B:$B)
   )
)</f>
        <v/>
      </c>
      <c r="J72" s="6" t="str">
        <f>IF($G72="","",
   IF(COUNTIF($G$4:G72,$G72)&gt;1,
      "",
      SUMIF($G:$G,$G72,$H:$H)
   )
)</f>
        <v/>
      </c>
      <c r="K72" s="6" t="str">
        <f>IF($G72="","", IF(COUNTIF($G$4:G72,$G72)&gt;1, "", IF(COUNTIF($A:$A,$G72)=0, "P/N not on LPN", IF(SUMIF($G:$G,$G72,$H:$H)&lt;&gt;I72, "QTY Mismatch", "" ) ) ) )</f>
        <v/>
      </c>
      <c r="L72" s="2"/>
      <c r="M72" s="6"/>
      <c r="N72" s="3"/>
      <c r="O72" s="2"/>
    </row>
    <row r="73" spans="1:15" ht="15.5" thickTop="1" thickBot="1" x14ac:dyDescent="0.4">
      <c r="A73" s="11"/>
      <c r="B73" s="12"/>
      <c r="C73" s="11" t="str">
        <f>IF($A73="","",
   IF(COUNTIF($A$4:A73,$A73)&gt;1,
      "",
      SUMIF($A:$A,$A73,$B:$B)
   )
)</f>
        <v/>
      </c>
      <c r="D73" s="11" t="str">
        <f>IF($A73="","",
   IF(COUNTIF($A$4:A73,$A73)&gt;1,
      "",
      SUMIF($G:$G,$A73,$H:$H)
   )
)</f>
        <v/>
      </c>
      <c r="E73" s="11" t="str">
        <f>IF($A73="","", IF(COUNTIF($A$4:A73,$A73)&gt;1, "", IF(COUNTIF($G:$G,$A73)=0, "P/N not on MR", IF(SUMIF($A:$A,$A73,$B:$B)&lt;&gt;D73, "QTY Mismatch", "" ) ) ) )</f>
        <v/>
      </c>
      <c r="F73" s="2"/>
      <c r="G73" s="11"/>
      <c r="H73" s="12"/>
      <c r="I73" s="11" t="str">
        <f>IF($G73="","",
   IF(COUNTIF($G$4:G73,$G73)&gt;1,
      "",
      SUMIF($A:$A,$G73,$B:$B)
   )
)</f>
        <v/>
      </c>
      <c r="J73" s="11" t="str">
        <f>IF($G73="","",
   IF(COUNTIF($G$4:G73,$G73)&gt;1,
      "",
      SUMIF($G:$G,$G73,$H:$H)
   )
)</f>
        <v/>
      </c>
      <c r="K73" s="11" t="str">
        <f>IF($G73="","", IF(COUNTIF($G$4:G73,$G73)&gt;1, "", IF(COUNTIF($A:$A,$G73)=0, "P/N not on LPN", IF(SUMIF($G:$G,$G73,$H:$H)&lt;&gt;I73, "QTY Mismatch", "" ) ) ) )</f>
        <v/>
      </c>
      <c r="L73" s="2"/>
      <c r="M73" s="11"/>
      <c r="N73" s="12"/>
      <c r="O73" s="2"/>
    </row>
    <row r="74" spans="1:15" ht="15.5" thickTop="1" thickBot="1" x14ac:dyDescent="0.4">
      <c r="A74" s="6"/>
      <c r="B74" s="3"/>
      <c r="C74" s="6" t="str">
        <f>IF($A74="","",
   IF(COUNTIF($A$4:A74,$A74)&gt;1,
      "",
      SUMIF($A:$A,$A74,$B:$B)
   )
)</f>
        <v/>
      </c>
      <c r="D74" s="6" t="str">
        <f>IF($A74="","",
   IF(COUNTIF($A$4:A74,$A74)&gt;1,
      "",
      SUMIF($G:$G,$A74,$H:$H)
   )
)</f>
        <v/>
      </c>
      <c r="E74" s="6" t="str">
        <f>IF($A74="","", IF(COUNTIF($A$4:A74,$A74)&gt;1, "", IF(COUNTIF($G:$G,$A74)=0, "P/N not on MR", IF(SUMIF($A:$A,$A74,$B:$B)&lt;&gt;D74, "QTY Mismatch", "" ) ) ) )</f>
        <v/>
      </c>
      <c r="F74" s="2"/>
      <c r="G74" s="6"/>
      <c r="H74" s="3"/>
      <c r="I74" s="6" t="str">
        <f>IF($G74="","",
   IF(COUNTIF($G$4:G74,$G74)&gt;1,
      "",
      SUMIF($A:$A,$G74,$B:$B)
   )
)</f>
        <v/>
      </c>
      <c r="J74" s="6" t="str">
        <f>IF($G74="","",
   IF(COUNTIF($G$4:G74,$G74)&gt;1,
      "",
      SUMIF($G:$G,$G74,$H:$H)
   )
)</f>
        <v/>
      </c>
      <c r="K74" s="6" t="str">
        <f>IF($G74="","", IF(COUNTIF($G$4:G74,$G74)&gt;1, "", IF(COUNTIF($A:$A,$G74)=0, "P/N not on LPN", IF(SUMIF($G:$G,$G74,$H:$H)&lt;&gt;I74, "QTY Mismatch", "" ) ) ) )</f>
        <v/>
      </c>
      <c r="L74" s="2"/>
      <c r="M74" s="6"/>
      <c r="N74" s="3"/>
      <c r="O74" s="2"/>
    </row>
    <row r="75" spans="1:15" ht="15.5" thickTop="1" thickBot="1" x14ac:dyDescent="0.4">
      <c r="A75" s="11"/>
      <c r="B75" s="12"/>
      <c r="C75" s="11" t="str">
        <f>IF($A75="","",
   IF(COUNTIF($A$4:A75,$A75)&gt;1,
      "",
      SUMIF($A:$A,$A75,$B:$B)
   )
)</f>
        <v/>
      </c>
      <c r="D75" s="11" t="str">
        <f>IF($A75="","",
   IF(COUNTIF($A$4:A75,$A75)&gt;1,
      "",
      SUMIF($G:$G,$A75,$H:$H)
   )
)</f>
        <v/>
      </c>
      <c r="E75" s="11" t="str">
        <f>IF($A75="","", IF(COUNTIF($A$4:A75,$A75)&gt;1, "", IF(COUNTIF($G:$G,$A75)=0, "P/N not on MR", IF(SUMIF($A:$A,$A75,$B:$B)&lt;&gt;D75, "QTY Mismatch", "" ) ) ) )</f>
        <v/>
      </c>
      <c r="F75" s="2"/>
      <c r="G75" s="11"/>
      <c r="H75" s="12"/>
      <c r="I75" s="11" t="str">
        <f>IF($G75="","",
   IF(COUNTIF($G$4:G75,$G75)&gt;1,
      "",
      SUMIF($A:$A,$G75,$B:$B)
   )
)</f>
        <v/>
      </c>
      <c r="J75" s="11" t="str">
        <f>IF($G75="","",
   IF(COUNTIF($G$4:G75,$G75)&gt;1,
      "",
      SUMIF($G:$G,$G75,$H:$H)
   )
)</f>
        <v/>
      </c>
      <c r="K75" s="11" t="str">
        <f>IF($G75="","", IF(COUNTIF($G$4:G75,$G75)&gt;1, "", IF(COUNTIF($A:$A,$G75)=0, "P/N not on LPN", IF(SUMIF($G:$G,$G75,$H:$H)&lt;&gt;I75, "QTY Mismatch", "" ) ) ) )</f>
        <v/>
      </c>
      <c r="L75" s="2"/>
      <c r="M75" s="11"/>
      <c r="N75" s="12"/>
      <c r="O75" s="2"/>
    </row>
    <row r="76" spans="1:15" ht="15.5" thickTop="1" thickBot="1" x14ac:dyDescent="0.4">
      <c r="A76" s="6"/>
      <c r="B76" s="3"/>
      <c r="C76" s="6" t="str">
        <f>IF($A76="","",
   IF(COUNTIF($A$4:A76,$A76)&gt;1,
      "",
      SUMIF($A:$A,$A76,$B:$B)
   )
)</f>
        <v/>
      </c>
      <c r="D76" s="6" t="str">
        <f>IF($A76="","",
   IF(COUNTIF($A$4:A76,$A76)&gt;1,
      "",
      SUMIF($G:$G,$A76,$H:$H)
   )
)</f>
        <v/>
      </c>
      <c r="E76" s="6" t="str">
        <f>IF($A76="","", IF(COUNTIF($A$4:A76,$A76)&gt;1, "", IF(COUNTIF($G:$G,$A76)=0, "P/N not on MR", IF(SUMIF($A:$A,$A76,$B:$B)&lt;&gt;D76, "QTY Mismatch", "" ) ) ) )</f>
        <v/>
      </c>
      <c r="F76" s="2"/>
      <c r="G76" s="6"/>
      <c r="H76" s="3"/>
      <c r="I76" s="6" t="str">
        <f>IF($G76="","",
   IF(COUNTIF($G$4:G76,$G76)&gt;1,
      "",
      SUMIF($A:$A,$G76,$B:$B)
   )
)</f>
        <v/>
      </c>
      <c r="J76" s="6" t="str">
        <f>IF($G76="","",
   IF(COUNTIF($G$4:G76,$G76)&gt;1,
      "",
      SUMIF($G:$G,$G76,$H:$H)
   )
)</f>
        <v/>
      </c>
      <c r="K76" s="6" t="str">
        <f>IF($G76="","", IF(COUNTIF($G$4:G76,$G76)&gt;1, "", IF(COUNTIF($A:$A,$G76)=0, "P/N not on LPN", IF(SUMIF($G:$G,$G76,$H:$H)&lt;&gt;I76, "QTY Mismatch", "" ) ) ) )</f>
        <v/>
      </c>
      <c r="L76" s="2"/>
      <c r="M76" s="6"/>
      <c r="N76" s="3"/>
      <c r="O76" s="2"/>
    </row>
    <row r="77" spans="1:15" ht="15.5" thickTop="1" thickBot="1" x14ac:dyDescent="0.4">
      <c r="A77" s="11"/>
      <c r="B77" s="12"/>
      <c r="C77" s="11" t="str">
        <f>IF($A77="","",
   IF(COUNTIF($A$4:A77,$A77)&gt;1,
      "",
      SUMIF($A:$A,$A77,$B:$B)
   )
)</f>
        <v/>
      </c>
      <c r="D77" s="11" t="str">
        <f>IF($A77="","",
   IF(COUNTIF($A$4:A77,$A77)&gt;1,
      "",
      SUMIF($G:$G,$A77,$H:$H)
   )
)</f>
        <v/>
      </c>
      <c r="E77" s="11" t="str">
        <f>IF($A77="","", IF(COUNTIF($A$4:A77,$A77)&gt;1, "", IF(COUNTIF($G:$G,$A77)=0, "P/N not on MR", IF(SUMIF($A:$A,$A77,$B:$B)&lt;&gt;D77, "QTY Mismatch", "" ) ) ) )</f>
        <v/>
      </c>
      <c r="F77" s="2"/>
      <c r="G77" s="11"/>
      <c r="H77" s="12"/>
      <c r="I77" s="11" t="str">
        <f>IF($G77="","",
   IF(COUNTIF($G$4:G77,$G77)&gt;1,
      "",
      SUMIF($A:$A,$G77,$B:$B)
   )
)</f>
        <v/>
      </c>
      <c r="J77" s="11" t="str">
        <f>IF($G77="","",
   IF(COUNTIF($G$4:G77,$G77)&gt;1,
      "",
      SUMIF($G:$G,$G77,$H:$H)
   )
)</f>
        <v/>
      </c>
      <c r="K77" s="11" t="str">
        <f>IF($G77="","", IF(COUNTIF($G$4:G77,$G77)&gt;1, "", IF(COUNTIF($A:$A,$G77)=0, "P/N not on LPN", IF(SUMIF($G:$G,$G77,$H:$H)&lt;&gt;I77, "QTY Mismatch", "" ) ) ) )</f>
        <v/>
      </c>
      <c r="L77" s="2"/>
      <c r="M77" s="11"/>
      <c r="N77" s="12"/>
      <c r="O77" s="2"/>
    </row>
    <row r="78" spans="1:15" ht="15.5" thickTop="1" thickBot="1" x14ac:dyDescent="0.4">
      <c r="A78" s="6"/>
      <c r="B78" s="3"/>
      <c r="C78" s="6" t="str">
        <f>IF($A78="","",
   IF(COUNTIF($A$4:A78,$A78)&gt;1,
      "",
      SUMIF($A:$A,$A78,$B:$B)
   )
)</f>
        <v/>
      </c>
      <c r="D78" s="6" t="str">
        <f>IF($A78="","",
   IF(COUNTIF($A$4:A78,$A78)&gt;1,
      "",
      SUMIF($G:$G,$A78,$H:$H)
   )
)</f>
        <v/>
      </c>
      <c r="E78" s="6" t="str">
        <f>IF($A78="","", IF(COUNTIF($A$4:A78,$A78)&gt;1, "", IF(COUNTIF($G:$G,$A78)=0, "P/N not on MR", IF(SUMIF($A:$A,$A78,$B:$B)&lt;&gt;D78, "QTY Mismatch", "" ) ) ) )</f>
        <v/>
      </c>
      <c r="F78" s="2"/>
      <c r="G78" s="6"/>
      <c r="H78" s="3"/>
      <c r="I78" s="6" t="str">
        <f>IF($G78="","",
   IF(COUNTIF($G$4:G78,$G78)&gt;1,
      "",
      SUMIF($A:$A,$G78,$B:$B)
   )
)</f>
        <v/>
      </c>
      <c r="J78" s="6" t="str">
        <f>IF($G78="","",
   IF(COUNTIF($G$4:G78,$G78)&gt;1,
      "",
      SUMIF($G:$G,$G78,$H:$H)
   )
)</f>
        <v/>
      </c>
      <c r="K78" s="6" t="str">
        <f>IF($G78="","", IF(COUNTIF($G$4:G78,$G78)&gt;1, "", IF(COUNTIF($A:$A,$G78)=0, "P/N not on LPN", IF(SUMIF($G:$G,$G78,$H:$H)&lt;&gt;I78, "QTY Mismatch", "" ) ) ) )</f>
        <v/>
      </c>
      <c r="L78" s="2"/>
      <c r="M78" s="6"/>
      <c r="N78" s="3"/>
      <c r="O78" s="2"/>
    </row>
    <row r="79" spans="1:15" ht="15.5" thickTop="1" thickBot="1" x14ac:dyDescent="0.4">
      <c r="A79" s="11"/>
      <c r="B79" s="12"/>
      <c r="C79" s="11" t="str">
        <f>IF($A79="","",
   IF(COUNTIF($A$4:A79,$A79)&gt;1,
      "",
      SUMIF($A:$A,$A79,$B:$B)
   )
)</f>
        <v/>
      </c>
      <c r="D79" s="11" t="str">
        <f>IF($A79="","",
   IF(COUNTIF($A$4:A79,$A79)&gt;1,
      "",
      SUMIF($G:$G,$A79,$H:$H)
   )
)</f>
        <v/>
      </c>
      <c r="E79" s="11" t="str">
        <f>IF($A79="","", IF(COUNTIF($A$4:A79,$A79)&gt;1, "", IF(COUNTIF($G:$G,$A79)=0, "P/N not on MR", IF(SUMIF($A:$A,$A79,$B:$B)&lt;&gt;D79, "QTY Mismatch", "" ) ) ) )</f>
        <v/>
      </c>
      <c r="F79" s="2"/>
      <c r="G79" s="11"/>
      <c r="H79" s="12"/>
      <c r="I79" s="11" t="str">
        <f>IF($G79="","",
   IF(COUNTIF($G$4:G79,$G79)&gt;1,
      "",
      SUMIF($A:$A,$G79,$B:$B)
   )
)</f>
        <v/>
      </c>
      <c r="J79" s="11" t="str">
        <f>IF($G79="","",
   IF(COUNTIF($G$4:G79,$G79)&gt;1,
      "",
      SUMIF($G:$G,$G79,$H:$H)
   )
)</f>
        <v/>
      </c>
      <c r="K79" s="11" t="str">
        <f>IF($G79="","", IF(COUNTIF($G$4:G79,$G79)&gt;1, "", IF(COUNTIF($A:$A,$G79)=0, "P/N not on LPN", IF(SUMIF($G:$G,$G79,$H:$H)&lt;&gt;I79, "QTY Mismatch", "" ) ) ) )</f>
        <v/>
      </c>
      <c r="L79" s="2"/>
      <c r="M79" s="11"/>
      <c r="N79" s="12"/>
      <c r="O79" s="2"/>
    </row>
    <row r="80" spans="1:15" ht="15.5" thickTop="1" thickBot="1" x14ac:dyDescent="0.4">
      <c r="A80" s="6"/>
      <c r="B80" s="3"/>
      <c r="C80" s="6" t="str">
        <f>IF($A80="","",
   IF(COUNTIF($A$4:A80,$A80)&gt;1,
      "",
      SUMIF($A:$A,$A80,$B:$B)
   )
)</f>
        <v/>
      </c>
      <c r="D80" s="6" t="str">
        <f>IF($A80="","",
   IF(COUNTIF($A$4:A80,$A80)&gt;1,
      "",
      SUMIF($G:$G,$A80,$H:$H)
   )
)</f>
        <v/>
      </c>
      <c r="E80" s="6" t="str">
        <f>IF($A80="","", IF(COUNTIF($A$4:A80,$A80)&gt;1, "", IF(COUNTIF($G:$G,$A80)=0, "P/N not on MR", IF(SUMIF($A:$A,$A80,$B:$B)&lt;&gt;D80, "QTY Mismatch", "" ) ) ) )</f>
        <v/>
      </c>
      <c r="F80" s="2"/>
      <c r="G80" s="6"/>
      <c r="H80" s="3"/>
      <c r="I80" s="6" t="str">
        <f>IF($G80="","",
   IF(COUNTIF($G$4:G80,$G80)&gt;1,
      "",
      SUMIF($A:$A,$G80,$B:$B)
   )
)</f>
        <v/>
      </c>
      <c r="J80" s="6" t="str">
        <f>IF($G80="","",
   IF(COUNTIF($G$4:G80,$G80)&gt;1,
      "",
      SUMIF($G:$G,$G80,$H:$H)
   )
)</f>
        <v/>
      </c>
      <c r="K80" s="6" t="str">
        <f>IF($G80="","", IF(COUNTIF($G$4:G80,$G80)&gt;1, "", IF(COUNTIF($A:$A,$G80)=0, "P/N not on LPN", IF(SUMIF($G:$G,$G80,$H:$H)&lt;&gt;I80, "QTY Mismatch", "" ) ) ) )</f>
        <v/>
      </c>
      <c r="L80" s="2"/>
      <c r="M80" s="6"/>
      <c r="N80" s="3"/>
      <c r="O80" s="2"/>
    </row>
    <row r="81" spans="1:15" ht="15.5" thickTop="1" thickBot="1" x14ac:dyDescent="0.4">
      <c r="A81" s="11"/>
      <c r="B81" s="12"/>
      <c r="C81" s="11" t="str">
        <f>IF($A81="","",
   IF(COUNTIF($A$4:A81,$A81)&gt;1,
      "",
      SUMIF($A:$A,$A81,$B:$B)
   )
)</f>
        <v/>
      </c>
      <c r="D81" s="11" t="str">
        <f>IF($A81="","",
   IF(COUNTIF($A$4:A81,$A81)&gt;1,
      "",
      SUMIF($G:$G,$A81,$H:$H)
   )
)</f>
        <v/>
      </c>
      <c r="E81" s="11" t="str">
        <f>IF($A81="","", IF(COUNTIF($A$4:A81,$A81)&gt;1, "", IF(COUNTIF($G:$G,$A81)=0, "P/N not on MR", IF(SUMIF($A:$A,$A81,$B:$B)&lt;&gt;D81, "QTY Mismatch", "" ) ) ) )</f>
        <v/>
      </c>
      <c r="F81" s="2"/>
      <c r="G81" s="11"/>
      <c r="H81" s="12"/>
      <c r="I81" s="11" t="str">
        <f>IF($G81="","",
   IF(COUNTIF($G$4:G81,$G81)&gt;1,
      "",
      SUMIF($A:$A,$G81,$B:$B)
   )
)</f>
        <v/>
      </c>
      <c r="J81" s="11" t="str">
        <f>IF($G81="","",
   IF(COUNTIF($G$4:G81,$G81)&gt;1,
      "",
      SUMIF($G:$G,$G81,$H:$H)
   )
)</f>
        <v/>
      </c>
      <c r="K81" s="11" t="str">
        <f>IF($G81="","", IF(COUNTIF($G$4:G81,$G81)&gt;1, "", IF(COUNTIF($A:$A,$G81)=0, "P/N not on LPN", IF(SUMIF($G:$G,$G81,$H:$H)&lt;&gt;I81, "QTY Mismatch", "" ) ) ) )</f>
        <v/>
      </c>
      <c r="L81" s="2"/>
      <c r="M81" s="11"/>
      <c r="N81" s="12"/>
      <c r="O81" s="2"/>
    </row>
    <row r="82" spans="1:15" ht="15.5" thickTop="1" thickBot="1" x14ac:dyDescent="0.4">
      <c r="A82" s="6"/>
      <c r="B82" s="3"/>
      <c r="C82" s="6" t="str">
        <f>IF($A82="","",
   IF(COUNTIF($A$4:A82,$A82)&gt;1,
      "",
      SUMIF($A:$A,$A82,$B:$B)
   )
)</f>
        <v/>
      </c>
      <c r="D82" s="6" t="str">
        <f>IF($A82="","",
   IF(COUNTIF($A$4:A82,$A82)&gt;1,
      "",
      SUMIF($G:$G,$A82,$H:$H)
   )
)</f>
        <v/>
      </c>
      <c r="E82" s="6" t="str">
        <f>IF($A82="","", IF(COUNTIF($A$4:A82,$A82)&gt;1, "", IF(COUNTIF($G:$G,$A82)=0, "P/N not on MR", IF(SUMIF($A:$A,$A82,$B:$B)&lt;&gt;D82, "QTY Mismatch", "" ) ) ) )</f>
        <v/>
      </c>
      <c r="F82" s="2"/>
      <c r="G82" s="6"/>
      <c r="H82" s="3"/>
      <c r="I82" s="6" t="str">
        <f>IF($G82="","",
   IF(COUNTIF($G$4:G82,$G82)&gt;1,
      "",
      SUMIF($A:$A,$G82,$B:$B)
   )
)</f>
        <v/>
      </c>
      <c r="J82" s="6" t="str">
        <f>IF($G82="","",
   IF(COUNTIF($G$4:G82,$G82)&gt;1,
      "",
      SUMIF($G:$G,$G82,$H:$H)
   )
)</f>
        <v/>
      </c>
      <c r="K82" s="6" t="str">
        <f>IF($G82="","", IF(COUNTIF($G$4:G82,$G82)&gt;1, "", IF(COUNTIF($A:$A,$G82)=0, "P/N not on LPN", IF(SUMIF($G:$G,$G82,$H:$H)&lt;&gt;I82, "QTY Mismatch", "" ) ) ) )</f>
        <v/>
      </c>
      <c r="L82" s="2"/>
      <c r="M82" s="6"/>
      <c r="N82" s="3"/>
      <c r="O82" s="2"/>
    </row>
    <row r="83" spans="1:15" ht="15.5" thickTop="1" thickBot="1" x14ac:dyDescent="0.4">
      <c r="A83" s="11"/>
      <c r="B83" s="12"/>
      <c r="C83" s="11" t="str">
        <f>IF($A83="","",
   IF(COUNTIF($A$4:A83,$A83)&gt;1,
      "",
      SUMIF($A:$A,$A83,$B:$B)
   )
)</f>
        <v/>
      </c>
      <c r="D83" s="11" t="str">
        <f>IF($A83="","",
   IF(COUNTIF($A$4:A83,$A83)&gt;1,
      "",
      SUMIF($G:$G,$A83,$H:$H)
   )
)</f>
        <v/>
      </c>
      <c r="E83" s="11" t="str">
        <f>IF($A83="","", IF(COUNTIF($A$4:A83,$A83)&gt;1, "", IF(COUNTIF($G:$G,$A83)=0, "P/N not on MR", IF(SUMIF($A:$A,$A83,$B:$B)&lt;&gt;D83, "QTY Mismatch", "" ) ) ) )</f>
        <v/>
      </c>
      <c r="F83" s="2"/>
      <c r="G83" s="11"/>
      <c r="H83" s="12"/>
      <c r="I83" s="11" t="str">
        <f>IF($G83="","",
   IF(COUNTIF($G$4:G83,$G83)&gt;1,
      "",
      SUMIF($A:$A,$G83,$B:$B)
   )
)</f>
        <v/>
      </c>
      <c r="J83" s="11" t="str">
        <f>IF($G83="","",
   IF(COUNTIF($G$4:G83,$G83)&gt;1,
      "",
      SUMIF($G:$G,$G83,$H:$H)
   )
)</f>
        <v/>
      </c>
      <c r="K83" s="11" t="str">
        <f>IF($G83="","", IF(COUNTIF($G$4:G83,$G83)&gt;1, "", IF(COUNTIF($A:$A,$G83)=0, "P/N not on LPN", IF(SUMIF($G:$G,$G83,$H:$H)&lt;&gt;I83, "QTY Mismatch", "" ) ) ) )</f>
        <v/>
      </c>
      <c r="L83" s="2"/>
      <c r="M83" s="11"/>
      <c r="N83" s="12"/>
      <c r="O83" s="2"/>
    </row>
    <row r="84" spans="1:15" ht="15.5" thickTop="1" thickBot="1" x14ac:dyDescent="0.4">
      <c r="A84" s="6"/>
      <c r="B84" s="3"/>
      <c r="C84" s="6" t="str">
        <f>IF($A84="","",
   IF(COUNTIF($A$4:A84,$A84)&gt;1,
      "",
      SUMIF($A:$A,$A84,$B:$B)
   )
)</f>
        <v/>
      </c>
      <c r="D84" s="6" t="str">
        <f>IF($A84="","",
   IF(COUNTIF($A$4:A84,$A84)&gt;1,
      "",
      SUMIF($G:$G,$A84,$H:$H)
   )
)</f>
        <v/>
      </c>
      <c r="E84" s="6" t="str">
        <f>IF($A84="","", IF(COUNTIF($A$4:A84,$A84)&gt;1, "", IF(COUNTIF($G:$G,$A84)=0, "P/N not on MR", IF(SUMIF($A:$A,$A84,$B:$B)&lt;&gt;D84, "QTY Mismatch", "" ) ) ) )</f>
        <v/>
      </c>
      <c r="F84" s="2"/>
      <c r="G84" s="6"/>
      <c r="H84" s="3"/>
      <c r="I84" s="6" t="str">
        <f>IF($G84="","",
   IF(COUNTIF($G$4:G84,$G84)&gt;1,
      "",
      SUMIF($A:$A,$G84,$B:$B)
   )
)</f>
        <v/>
      </c>
      <c r="J84" s="6" t="str">
        <f>IF($G84="","",
   IF(COUNTIF($G$4:G84,$G84)&gt;1,
      "",
      SUMIF($G:$G,$G84,$H:$H)
   )
)</f>
        <v/>
      </c>
      <c r="K84" s="6" t="str">
        <f>IF($G84="","", IF(COUNTIF($G$4:G84,$G84)&gt;1, "", IF(COUNTIF($A:$A,$G84)=0, "P/N not on LPN", IF(SUMIF($G:$G,$G84,$H:$H)&lt;&gt;I84, "QTY Mismatch", "" ) ) ) )</f>
        <v/>
      </c>
      <c r="L84" s="2"/>
      <c r="M84" s="6"/>
      <c r="N84" s="3"/>
      <c r="O84" s="2"/>
    </row>
    <row r="85" spans="1:15" ht="15.5" thickTop="1" thickBot="1" x14ac:dyDescent="0.4">
      <c r="A85" s="11"/>
      <c r="B85" s="12"/>
      <c r="C85" s="11" t="str">
        <f>IF($A85="","",
   IF(COUNTIF($A$4:A85,$A85)&gt;1,
      "",
      SUMIF($A:$A,$A85,$B:$B)
   )
)</f>
        <v/>
      </c>
      <c r="D85" s="11" t="str">
        <f>IF($A85="","",
   IF(COUNTIF($A$4:A85,$A85)&gt;1,
      "",
      SUMIF($G:$G,$A85,$H:$H)
   )
)</f>
        <v/>
      </c>
      <c r="E85" s="11" t="str">
        <f>IF($A85="","", IF(COUNTIF($A$4:A85,$A85)&gt;1, "", IF(COUNTIF($G:$G,$A85)=0, "P/N not on MR", IF(SUMIF($A:$A,$A85,$B:$B)&lt;&gt;D85, "QTY Mismatch", "" ) ) ) )</f>
        <v/>
      </c>
      <c r="F85" s="2"/>
      <c r="G85" s="11"/>
      <c r="H85" s="12"/>
      <c r="I85" s="11" t="str">
        <f>IF($G85="","",
   IF(COUNTIF($G$4:G85,$G85)&gt;1,
      "",
      SUMIF($A:$A,$G85,$B:$B)
   )
)</f>
        <v/>
      </c>
      <c r="J85" s="11" t="str">
        <f>IF($G85="","",
   IF(COUNTIF($G$4:G85,$G85)&gt;1,
      "",
      SUMIF($G:$G,$G85,$H:$H)
   )
)</f>
        <v/>
      </c>
      <c r="K85" s="11" t="str">
        <f>IF($G85="","", IF(COUNTIF($G$4:G85,$G85)&gt;1, "", IF(COUNTIF($A:$A,$G85)=0, "P/N not on LPN", IF(SUMIF($G:$G,$G85,$H:$H)&lt;&gt;I85, "QTY Mismatch", "" ) ) ) )</f>
        <v/>
      </c>
      <c r="L85" s="2"/>
      <c r="M85" s="11"/>
      <c r="N85" s="12"/>
      <c r="O85" s="2"/>
    </row>
    <row r="86" spans="1:15" ht="15.5" thickTop="1" thickBot="1" x14ac:dyDescent="0.4">
      <c r="A86" s="6"/>
      <c r="B86" s="3"/>
      <c r="C86" s="6" t="str">
        <f>IF($A86="","",
   IF(COUNTIF($A$4:A86,$A86)&gt;1,
      "",
      SUMIF($A:$A,$A86,$B:$B)
   )
)</f>
        <v/>
      </c>
      <c r="D86" s="6" t="str">
        <f>IF($A86="","",
   IF(COUNTIF($A$4:A86,$A86)&gt;1,
      "",
      SUMIF($G:$G,$A86,$H:$H)
   )
)</f>
        <v/>
      </c>
      <c r="E86" s="6" t="str">
        <f>IF($A86="","", IF(COUNTIF($A$4:A86,$A86)&gt;1, "", IF(COUNTIF($G:$G,$A86)=0, "P/N not on MR", IF(SUMIF($A:$A,$A86,$B:$B)&lt;&gt;D86, "QTY Mismatch", "" ) ) ) )</f>
        <v/>
      </c>
      <c r="F86" s="2"/>
      <c r="G86" s="6"/>
      <c r="H86" s="3"/>
      <c r="I86" s="6" t="str">
        <f>IF($G86="","",
   IF(COUNTIF($G$4:G86,$G86)&gt;1,
      "",
      SUMIF($A:$A,$G86,$B:$B)
   )
)</f>
        <v/>
      </c>
      <c r="J86" s="6" t="str">
        <f>IF($G86="","",
   IF(COUNTIF($G$4:G86,$G86)&gt;1,
      "",
      SUMIF($G:$G,$G86,$H:$H)
   )
)</f>
        <v/>
      </c>
      <c r="K86" s="6" t="str">
        <f>IF($G86="","", IF(COUNTIF($G$4:G86,$G86)&gt;1, "", IF(COUNTIF($A:$A,$G86)=0, "P/N not on LPN", IF(SUMIF($G:$G,$G86,$H:$H)&lt;&gt;I86, "QTY Mismatch", "" ) ) ) )</f>
        <v/>
      </c>
      <c r="L86" s="2"/>
      <c r="M86" s="6"/>
      <c r="N86" s="3"/>
      <c r="O86" s="2"/>
    </row>
    <row r="87" spans="1:15" ht="15.5" thickTop="1" thickBot="1" x14ac:dyDescent="0.4">
      <c r="A87" s="11"/>
      <c r="B87" s="12"/>
      <c r="C87" s="11" t="str">
        <f>IF($A87="","",
   IF(COUNTIF($A$4:A87,$A87)&gt;1,
      "",
      SUMIF($A:$A,$A87,$B:$B)
   )
)</f>
        <v/>
      </c>
      <c r="D87" s="11" t="str">
        <f>IF($A87="","",
   IF(COUNTIF($A$4:A87,$A87)&gt;1,
      "",
      SUMIF($G:$G,$A87,$H:$H)
   )
)</f>
        <v/>
      </c>
      <c r="E87" s="11" t="str">
        <f>IF($A87="","", IF(COUNTIF($A$4:A87,$A87)&gt;1, "", IF(COUNTIF($G:$G,$A87)=0, "P/N not on MR", IF(SUMIF($A:$A,$A87,$B:$B)&lt;&gt;D87, "QTY Mismatch", "" ) ) ) )</f>
        <v/>
      </c>
      <c r="F87" s="2"/>
      <c r="G87" s="11"/>
      <c r="H87" s="12"/>
      <c r="I87" s="11" t="str">
        <f>IF($G87="","",
   IF(COUNTIF($G$4:G87,$G87)&gt;1,
      "",
      SUMIF($A:$A,$G87,$B:$B)
   )
)</f>
        <v/>
      </c>
      <c r="J87" s="11" t="str">
        <f>IF($G87="","",
   IF(COUNTIF($G$4:G87,$G87)&gt;1,
      "",
      SUMIF($G:$G,$G87,$H:$H)
   )
)</f>
        <v/>
      </c>
      <c r="K87" s="11" t="str">
        <f>IF($G87="","", IF(COUNTIF($G$4:G87,$G87)&gt;1, "", IF(COUNTIF($A:$A,$G87)=0, "P/N not on LPN", IF(SUMIF($G:$G,$G87,$H:$H)&lt;&gt;I87, "QTY Mismatch", "" ) ) ) )</f>
        <v/>
      </c>
      <c r="L87" s="2"/>
      <c r="M87" s="11"/>
      <c r="N87" s="12"/>
      <c r="O87" s="2"/>
    </row>
    <row r="88" spans="1:15" ht="15.5" thickTop="1" thickBot="1" x14ac:dyDescent="0.4">
      <c r="A88" s="6"/>
      <c r="B88" s="3"/>
      <c r="C88" s="6" t="str">
        <f>IF($A88="","",
   IF(COUNTIF($A$4:A88,$A88)&gt;1,
      "",
      SUMIF($A:$A,$A88,$B:$B)
   )
)</f>
        <v/>
      </c>
      <c r="D88" s="6" t="str">
        <f>IF($A88="","",
   IF(COUNTIF($A$4:A88,$A88)&gt;1,
      "",
      SUMIF($G:$G,$A88,$H:$H)
   )
)</f>
        <v/>
      </c>
      <c r="E88" s="6" t="str">
        <f>IF($A88="","", IF(COUNTIF($A$4:A88,$A88)&gt;1, "", IF(COUNTIF($G:$G,$A88)=0, "P/N not on MR", IF(SUMIF($A:$A,$A88,$B:$B)&lt;&gt;D88, "QTY Mismatch", "" ) ) ) )</f>
        <v/>
      </c>
      <c r="F88" s="2"/>
      <c r="G88" s="6"/>
      <c r="H88" s="3"/>
      <c r="I88" s="6" t="str">
        <f>IF($G88="","",
   IF(COUNTIF($G$4:G88,$G88)&gt;1,
      "",
      SUMIF($A:$A,$G88,$B:$B)
   )
)</f>
        <v/>
      </c>
      <c r="J88" s="6" t="str">
        <f>IF($G88="","",
   IF(COUNTIF($G$4:G88,$G88)&gt;1,
      "",
      SUMIF($G:$G,$G88,$H:$H)
   )
)</f>
        <v/>
      </c>
      <c r="K88" s="6" t="str">
        <f>IF($G88="","", IF(COUNTIF($G$4:G88,$G88)&gt;1, "", IF(COUNTIF($A:$A,$G88)=0, "P/N not on LPN", IF(SUMIF($G:$G,$G88,$H:$H)&lt;&gt;I88, "QTY Mismatch", "" ) ) ) )</f>
        <v/>
      </c>
      <c r="L88" s="2"/>
      <c r="M88" s="6"/>
      <c r="N88" s="3"/>
      <c r="O88" s="2"/>
    </row>
    <row r="89" spans="1:15" ht="15.5" thickTop="1" thickBot="1" x14ac:dyDescent="0.4">
      <c r="A89" s="11"/>
      <c r="B89" s="12"/>
      <c r="C89" s="11" t="str">
        <f>IF($A89="","",
   IF(COUNTIF($A$4:A89,$A89)&gt;1,
      "",
      SUMIF($A:$A,$A89,$B:$B)
   )
)</f>
        <v/>
      </c>
      <c r="D89" s="11" t="str">
        <f>IF($A89="","",
   IF(COUNTIF($A$4:A89,$A89)&gt;1,
      "",
      SUMIF($G:$G,$A89,$H:$H)
   )
)</f>
        <v/>
      </c>
      <c r="E89" s="11" t="str">
        <f>IF($A89="","", IF(COUNTIF($A$4:A89,$A89)&gt;1, "", IF(COUNTIF($G:$G,$A89)=0, "P/N not on MR", IF(SUMIF($A:$A,$A89,$B:$B)&lt;&gt;D89, "QTY Mismatch", "" ) ) ) )</f>
        <v/>
      </c>
      <c r="F89" s="2"/>
      <c r="G89" s="11"/>
      <c r="H89" s="12"/>
      <c r="I89" s="11" t="str">
        <f>IF($G89="","",
   IF(COUNTIF($G$4:G89,$G89)&gt;1,
      "",
      SUMIF($A:$A,$G89,$B:$B)
   )
)</f>
        <v/>
      </c>
      <c r="J89" s="11" t="str">
        <f>IF($G89="","",
   IF(COUNTIF($G$4:G89,$G89)&gt;1,
      "",
      SUMIF($G:$G,$G89,$H:$H)
   )
)</f>
        <v/>
      </c>
      <c r="K89" s="11" t="str">
        <f>IF($G89="","", IF(COUNTIF($G$4:G89,$G89)&gt;1, "", IF(COUNTIF($A:$A,$G89)=0, "P/N not on LPN", IF(SUMIF($G:$G,$G89,$H:$H)&lt;&gt;I89, "QTY Mismatch", "" ) ) ) )</f>
        <v/>
      </c>
      <c r="L89" s="2"/>
      <c r="M89" s="11"/>
      <c r="N89" s="12"/>
      <c r="O89" s="2"/>
    </row>
    <row r="90" spans="1:15" ht="15.5" thickTop="1" thickBot="1" x14ac:dyDescent="0.4">
      <c r="A90" s="6"/>
      <c r="B90" s="3"/>
      <c r="C90" s="6" t="str">
        <f>IF($A90="","",
   IF(COUNTIF($A$4:A90,$A90)&gt;1,
      "",
      SUMIF($A:$A,$A90,$B:$B)
   )
)</f>
        <v/>
      </c>
      <c r="D90" s="6" t="str">
        <f>IF($A90="","",
   IF(COUNTIF($A$4:A90,$A90)&gt;1,
      "",
      SUMIF($G:$G,$A90,$H:$H)
   )
)</f>
        <v/>
      </c>
      <c r="E90" s="6" t="str">
        <f>IF($A90="","", IF(COUNTIF($A$4:A90,$A90)&gt;1, "", IF(COUNTIF($G:$G,$A90)=0, "P/N not on MR", IF(SUMIF($A:$A,$A90,$B:$B)&lt;&gt;D90, "QTY Mismatch", "" ) ) ) )</f>
        <v/>
      </c>
      <c r="F90" s="2"/>
      <c r="G90" s="6"/>
      <c r="H90" s="3"/>
      <c r="I90" s="6" t="str">
        <f>IF($G90="","",
   IF(COUNTIF($G$4:G90,$G90)&gt;1,
      "",
      SUMIF($A:$A,$G90,$B:$B)
   )
)</f>
        <v/>
      </c>
      <c r="J90" s="6" t="str">
        <f>IF($G90="","",
   IF(COUNTIF($G$4:G90,$G90)&gt;1,
      "",
      SUMIF($G:$G,$G90,$H:$H)
   )
)</f>
        <v/>
      </c>
      <c r="K90" s="6" t="str">
        <f>IF($G90="","", IF(COUNTIF($G$4:G90,$G90)&gt;1, "", IF(COUNTIF($A:$A,$G90)=0, "P/N not on LPN", IF(SUMIF($G:$G,$G90,$H:$H)&lt;&gt;I90, "QTY Mismatch", "" ) ) ) )</f>
        <v/>
      </c>
      <c r="L90" s="2"/>
      <c r="M90" s="6"/>
      <c r="N90" s="3"/>
      <c r="O90" s="2"/>
    </row>
    <row r="91" spans="1:15" ht="15.5" thickTop="1" thickBot="1" x14ac:dyDescent="0.4">
      <c r="A91" s="11"/>
      <c r="B91" s="12"/>
      <c r="C91" s="11" t="str">
        <f>IF($A91="","",
   IF(COUNTIF($A$4:A91,$A91)&gt;1,
      "",
      SUMIF($A:$A,$A91,$B:$B)
   )
)</f>
        <v/>
      </c>
      <c r="D91" s="11" t="str">
        <f>IF($A91="","",
   IF(COUNTIF($A$4:A91,$A91)&gt;1,
      "",
      SUMIF($G:$G,$A91,$H:$H)
   )
)</f>
        <v/>
      </c>
      <c r="E91" s="11" t="str">
        <f>IF($A91="","", IF(COUNTIF($A$4:A91,$A91)&gt;1, "", IF(COUNTIF($G:$G,$A91)=0, "P/N not on MR", IF(SUMIF($A:$A,$A91,$B:$B)&lt;&gt;D91, "QTY Mismatch", "" ) ) ) )</f>
        <v/>
      </c>
      <c r="F91" s="2"/>
      <c r="G91" s="11"/>
      <c r="H91" s="12"/>
      <c r="I91" s="11" t="str">
        <f>IF($G91="","",
   IF(COUNTIF($G$4:G91,$G91)&gt;1,
      "",
      SUMIF($A:$A,$G91,$B:$B)
   )
)</f>
        <v/>
      </c>
      <c r="J91" s="11" t="str">
        <f>IF($G91="","",
   IF(COUNTIF($G$4:G91,$G91)&gt;1,
      "",
      SUMIF($G:$G,$G91,$H:$H)
   )
)</f>
        <v/>
      </c>
      <c r="K91" s="11" t="str">
        <f>IF($G91="","", IF(COUNTIF($G$4:G91,$G91)&gt;1, "", IF(COUNTIF($A:$A,$G91)=0, "P/N not on LPN", IF(SUMIF($G:$G,$G91,$H:$H)&lt;&gt;I91, "QTY Mismatch", "" ) ) ) )</f>
        <v/>
      </c>
      <c r="L91" s="2"/>
      <c r="M91" s="11"/>
      <c r="N91" s="12"/>
      <c r="O91" s="2"/>
    </row>
    <row r="92" spans="1:15" ht="15.5" thickTop="1" thickBot="1" x14ac:dyDescent="0.4">
      <c r="A92" s="6"/>
      <c r="B92" s="3"/>
      <c r="C92" s="6" t="str">
        <f>IF($A92="","",
   IF(COUNTIF($A$4:A92,$A92)&gt;1,
      "",
      SUMIF($A:$A,$A92,$B:$B)
   )
)</f>
        <v/>
      </c>
      <c r="D92" s="6" t="str">
        <f>IF($A92="","",
   IF(COUNTIF($A$4:A92,$A92)&gt;1,
      "",
      SUMIF($G:$G,$A92,$H:$H)
   )
)</f>
        <v/>
      </c>
      <c r="E92" s="6" t="str">
        <f>IF($A92="","", IF(COUNTIF($A$4:A92,$A92)&gt;1, "", IF(COUNTIF($G:$G,$A92)=0, "P/N not on MR", IF(SUMIF($A:$A,$A92,$B:$B)&lt;&gt;D92, "QTY Mismatch", "" ) ) ) )</f>
        <v/>
      </c>
      <c r="F92" s="2"/>
      <c r="G92" s="6"/>
      <c r="H92" s="3"/>
      <c r="I92" s="6" t="str">
        <f>IF($G92="","",
   IF(COUNTIF($G$4:G92,$G92)&gt;1,
      "",
      SUMIF($A:$A,$G92,$B:$B)
   )
)</f>
        <v/>
      </c>
      <c r="J92" s="6" t="str">
        <f>IF($G92="","",
   IF(COUNTIF($G$4:G92,$G92)&gt;1,
      "",
      SUMIF($G:$G,$G92,$H:$H)
   )
)</f>
        <v/>
      </c>
      <c r="K92" s="6" t="str">
        <f>IF($G92="","", IF(COUNTIF($G$4:G92,$G92)&gt;1, "", IF(COUNTIF($A:$A,$G92)=0, "P/N not on LPN", IF(SUMIF($G:$G,$G92,$H:$H)&lt;&gt;I92, "QTY Mismatch", "" ) ) ) )</f>
        <v/>
      </c>
      <c r="L92" s="2"/>
      <c r="M92" s="6"/>
      <c r="N92" s="3"/>
      <c r="O92" s="2"/>
    </row>
    <row r="93" spans="1:15" ht="15.5" thickTop="1" thickBot="1" x14ac:dyDescent="0.4">
      <c r="A93" s="11"/>
      <c r="B93" s="12"/>
      <c r="C93" s="11" t="str">
        <f>IF($A93="","",
   IF(COUNTIF($A$4:A93,$A93)&gt;1,
      "",
      SUMIF($A:$A,$A93,$B:$B)
   )
)</f>
        <v/>
      </c>
      <c r="D93" s="11" t="str">
        <f>IF($A93="","",
   IF(COUNTIF($A$4:A93,$A93)&gt;1,
      "",
      SUMIF($G:$G,$A93,$H:$H)
   )
)</f>
        <v/>
      </c>
      <c r="E93" s="11" t="str">
        <f>IF($A93="","", IF(COUNTIF($A$4:A93,$A93)&gt;1, "", IF(COUNTIF($G:$G,$A93)=0, "P/N not on MR", IF(SUMIF($A:$A,$A93,$B:$B)&lt;&gt;D93, "QTY Mismatch", "" ) ) ) )</f>
        <v/>
      </c>
      <c r="F93" s="2"/>
      <c r="G93" s="11"/>
      <c r="H93" s="12"/>
      <c r="I93" s="11" t="str">
        <f>IF($G93="","",
   IF(COUNTIF($G$4:G93,$G93)&gt;1,
      "",
      SUMIF($A:$A,$G93,$B:$B)
   )
)</f>
        <v/>
      </c>
      <c r="J93" s="11" t="str">
        <f>IF($G93="","",
   IF(COUNTIF($G$4:G93,$G93)&gt;1,
      "",
      SUMIF($G:$G,$G93,$H:$H)
   )
)</f>
        <v/>
      </c>
      <c r="K93" s="11" t="str">
        <f>IF($G93="","", IF(COUNTIF($G$4:G93,$G93)&gt;1, "", IF(COUNTIF($A:$A,$G93)=0, "P/N not on LPN", IF(SUMIF($G:$G,$G93,$H:$H)&lt;&gt;I93, "QTY Mismatch", "" ) ) ) )</f>
        <v/>
      </c>
      <c r="L93" s="2"/>
      <c r="M93" s="11"/>
      <c r="N93" s="12"/>
      <c r="O93" s="2"/>
    </row>
    <row r="94" spans="1:15" ht="15.5" thickTop="1" thickBot="1" x14ac:dyDescent="0.4">
      <c r="A94" s="6"/>
      <c r="B94" s="3"/>
      <c r="C94" s="6" t="str">
        <f>IF($A94="","",
   IF(COUNTIF($A$4:A94,$A94)&gt;1,
      "",
      SUMIF($A:$A,$A94,$B:$B)
   )
)</f>
        <v/>
      </c>
      <c r="D94" s="6" t="str">
        <f>IF($A94="","",
   IF(COUNTIF($A$4:A94,$A94)&gt;1,
      "",
      SUMIF($G:$G,$A94,$H:$H)
   )
)</f>
        <v/>
      </c>
      <c r="E94" s="6" t="str">
        <f>IF($A94="","", IF(COUNTIF($A$4:A94,$A94)&gt;1, "", IF(COUNTIF($G:$G,$A94)=0, "P/N not on MR", IF(SUMIF($A:$A,$A94,$B:$B)&lt;&gt;D94, "QTY Mismatch", "" ) ) ) )</f>
        <v/>
      </c>
      <c r="F94" s="2"/>
      <c r="G94" s="6"/>
      <c r="H94" s="3"/>
      <c r="I94" s="6" t="str">
        <f>IF($G94="","",
   IF(COUNTIF($G$4:G94,$G94)&gt;1,
      "",
      SUMIF($A:$A,$G94,$B:$B)
   )
)</f>
        <v/>
      </c>
      <c r="J94" s="6" t="str">
        <f>IF($G94="","",
   IF(COUNTIF($G$4:G94,$G94)&gt;1,
      "",
      SUMIF($G:$G,$G94,$H:$H)
   )
)</f>
        <v/>
      </c>
      <c r="K94" s="6" t="str">
        <f>IF($G94="","", IF(COUNTIF($G$4:G94,$G94)&gt;1, "", IF(COUNTIF($A:$A,$G94)=0, "P/N not on LPN", IF(SUMIF($G:$G,$G94,$H:$H)&lt;&gt;I94, "QTY Mismatch", "" ) ) ) )</f>
        <v/>
      </c>
      <c r="L94" s="2"/>
      <c r="M94" s="6"/>
      <c r="N94" s="3"/>
      <c r="O94" s="2"/>
    </row>
    <row r="95" spans="1:15" ht="15.5" thickTop="1" thickBot="1" x14ac:dyDescent="0.4">
      <c r="A95" s="11"/>
      <c r="B95" s="12"/>
      <c r="C95" s="11" t="str">
        <f>IF($A95="","",
   IF(COUNTIF($A$4:A95,$A95)&gt;1,
      "",
      SUMIF($A:$A,$A95,$B:$B)
   )
)</f>
        <v/>
      </c>
      <c r="D95" s="11" t="str">
        <f>IF($A95="","",
   IF(COUNTIF($A$4:A95,$A95)&gt;1,
      "",
      SUMIF($G:$G,$A95,$H:$H)
   )
)</f>
        <v/>
      </c>
      <c r="E95" s="11" t="str">
        <f>IF($A95="","", IF(COUNTIF($A$4:A95,$A95)&gt;1, "", IF(COUNTIF($G:$G,$A95)=0, "P/N not on MR", IF(SUMIF($A:$A,$A95,$B:$B)&lt;&gt;D95, "QTY Mismatch", "" ) ) ) )</f>
        <v/>
      </c>
      <c r="F95" s="2"/>
      <c r="G95" s="11"/>
      <c r="H95" s="12"/>
      <c r="I95" s="11" t="str">
        <f>IF($G95="","",
   IF(COUNTIF($G$4:G95,$G95)&gt;1,
      "",
      SUMIF($A:$A,$G95,$B:$B)
   )
)</f>
        <v/>
      </c>
      <c r="J95" s="11" t="str">
        <f>IF($G95="","",
   IF(COUNTIF($G$4:G95,$G95)&gt;1,
      "",
      SUMIF($G:$G,$G95,$H:$H)
   )
)</f>
        <v/>
      </c>
      <c r="K95" s="11" t="str">
        <f>IF($G95="","", IF(COUNTIF($G$4:G95,$G95)&gt;1, "", IF(COUNTIF($A:$A,$G95)=0, "P/N not on LPN", IF(SUMIF($G:$G,$G95,$H:$H)&lt;&gt;I95, "QTY Mismatch", "" ) ) ) )</f>
        <v/>
      </c>
      <c r="L95" s="2"/>
      <c r="M95" s="11"/>
      <c r="N95" s="12"/>
      <c r="O95" s="2"/>
    </row>
    <row r="96" spans="1:15" ht="15.5" thickTop="1" thickBot="1" x14ac:dyDescent="0.4">
      <c r="A96" s="6"/>
      <c r="B96" s="3"/>
      <c r="C96" s="6" t="str">
        <f>IF($A96="","",
   IF(COUNTIF($A$4:A96,$A96)&gt;1,
      "",
      SUMIF($A:$A,$A96,$B:$B)
   )
)</f>
        <v/>
      </c>
      <c r="D96" s="6" t="str">
        <f>IF($A96="","",
   IF(COUNTIF($A$4:A96,$A96)&gt;1,
      "",
      SUMIF($G:$G,$A96,$H:$H)
   )
)</f>
        <v/>
      </c>
      <c r="E96" s="6" t="str">
        <f>IF($A96="","", IF(COUNTIF($A$4:A96,$A96)&gt;1, "", IF(COUNTIF($G:$G,$A96)=0, "P/N not on MR", IF(SUMIF($A:$A,$A96,$B:$B)&lt;&gt;D96, "QTY Mismatch", "" ) ) ) )</f>
        <v/>
      </c>
      <c r="F96" s="2"/>
      <c r="G96" s="6"/>
      <c r="H96" s="3"/>
      <c r="I96" s="6" t="str">
        <f>IF($G96="","",
   IF(COUNTIF($G$4:G96,$G96)&gt;1,
      "",
      SUMIF($A:$A,$G96,$B:$B)
   )
)</f>
        <v/>
      </c>
      <c r="J96" s="6" t="str">
        <f>IF($G96="","",
   IF(COUNTIF($G$4:G96,$G96)&gt;1,
      "",
      SUMIF($G:$G,$G96,$H:$H)
   )
)</f>
        <v/>
      </c>
      <c r="K96" s="6" t="str">
        <f>IF($G96="","", IF(COUNTIF($G$4:G96,$G96)&gt;1, "", IF(COUNTIF($A:$A,$G96)=0, "P/N not on LPN", IF(SUMIF($G:$G,$G96,$H:$H)&lt;&gt;I96, "QTY Mismatch", "" ) ) ) )</f>
        <v/>
      </c>
      <c r="L96" s="2"/>
      <c r="M96" s="6"/>
      <c r="N96" s="3"/>
      <c r="O96" s="2"/>
    </row>
    <row r="97" spans="1:15" ht="15.5" thickTop="1" thickBot="1" x14ac:dyDescent="0.4">
      <c r="A97" s="11"/>
      <c r="B97" s="12"/>
      <c r="C97" s="11" t="str">
        <f>IF($A97="","",
   IF(COUNTIF($A$4:A97,$A97)&gt;1,
      "",
      SUMIF($A:$A,$A97,$B:$B)
   )
)</f>
        <v/>
      </c>
      <c r="D97" s="11" t="str">
        <f>IF($A97="","",
   IF(COUNTIF($A$4:A97,$A97)&gt;1,
      "",
      SUMIF($G:$G,$A97,$H:$H)
   )
)</f>
        <v/>
      </c>
      <c r="E97" s="11" t="str">
        <f>IF($A97="","", IF(COUNTIF($A$4:A97,$A97)&gt;1, "", IF(COUNTIF($G:$G,$A97)=0, "P/N not on MR", IF(SUMIF($A:$A,$A97,$B:$B)&lt;&gt;D97, "QTY Mismatch", "" ) ) ) )</f>
        <v/>
      </c>
      <c r="F97" s="2"/>
      <c r="G97" s="11"/>
      <c r="H97" s="12"/>
      <c r="I97" s="11" t="str">
        <f>IF($G97="","",
   IF(COUNTIF($G$4:G97,$G97)&gt;1,
      "",
      SUMIF($A:$A,$G97,$B:$B)
   )
)</f>
        <v/>
      </c>
      <c r="J97" s="11" t="str">
        <f>IF($G97="","",
   IF(COUNTIF($G$4:G97,$G97)&gt;1,
      "",
      SUMIF($G:$G,$G97,$H:$H)
   )
)</f>
        <v/>
      </c>
      <c r="K97" s="11" t="str">
        <f>IF($G97="","", IF(COUNTIF($G$4:G97,$G97)&gt;1, "", IF(COUNTIF($A:$A,$G97)=0, "P/N not on LPN", IF(SUMIF($G:$G,$G97,$H:$H)&lt;&gt;I97, "QTY Mismatch", "" ) ) ) )</f>
        <v/>
      </c>
      <c r="L97" s="2"/>
      <c r="M97" s="11"/>
      <c r="N97" s="12"/>
      <c r="O97" s="2"/>
    </row>
    <row r="98" spans="1:15" ht="15.5" thickTop="1" thickBot="1" x14ac:dyDescent="0.4">
      <c r="A98" s="6"/>
      <c r="B98" s="3"/>
      <c r="C98" s="6" t="str">
        <f>IF($A98="","",
   IF(COUNTIF($A$4:A98,$A98)&gt;1,
      "",
      SUMIF($A:$A,$A98,$B:$B)
   )
)</f>
        <v/>
      </c>
      <c r="D98" s="6" t="str">
        <f>IF($A98="","",
   IF(COUNTIF($A$4:A98,$A98)&gt;1,
      "",
      SUMIF($G:$G,$A98,$H:$H)
   )
)</f>
        <v/>
      </c>
      <c r="E98" s="6" t="str">
        <f>IF($A98="","", IF(COUNTIF($A$4:A98,$A98)&gt;1, "", IF(COUNTIF($G:$G,$A98)=0, "P/N not on MR", IF(SUMIF($A:$A,$A98,$B:$B)&lt;&gt;D98, "QTY Mismatch", "" ) ) ) )</f>
        <v/>
      </c>
      <c r="F98" s="2"/>
      <c r="G98" s="6"/>
      <c r="H98" s="3"/>
      <c r="I98" s="6" t="str">
        <f>IF($G98="","",
   IF(COUNTIF($G$4:G98,$G98)&gt;1,
      "",
      SUMIF($A:$A,$G98,$B:$B)
   )
)</f>
        <v/>
      </c>
      <c r="J98" s="6" t="str">
        <f>IF($G98="","",
   IF(COUNTIF($G$4:G98,$G98)&gt;1,
      "",
      SUMIF($G:$G,$G98,$H:$H)
   )
)</f>
        <v/>
      </c>
      <c r="K98" s="6" t="str">
        <f>IF($G98="","", IF(COUNTIF($G$4:G98,$G98)&gt;1, "", IF(COUNTIF($A:$A,$G98)=0, "P/N not on LPN", IF(SUMIF($G:$G,$G98,$H:$H)&lt;&gt;I98, "QTY Mismatch", "" ) ) ) )</f>
        <v/>
      </c>
      <c r="L98" s="2"/>
      <c r="M98" s="6"/>
      <c r="N98" s="3"/>
      <c r="O98" s="2"/>
    </row>
    <row r="99" spans="1:15" ht="15.5" thickTop="1" thickBot="1" x14ac:dyDescent="0.4">
      <c r="A99" s="11"/>
      <c r="B99" s="12"/>
      <c r="C99" s="11" t="str">
        <f>IF($A99="","",
   IF(COUNTIF($A$4:A99,$A99)&gt;1,
      "",
      SUMIF($A:$A,$A99,$B:$B)
   )
)</f>
        <v/>
      </c>
      <c r="D99" s="11" t="str">
        <f>IF($A99="","",
   IF(COUNTIF($A$4:A99,$A99)&gt;1,
      "",
      SUMIF($G:$G,$A99,$H:$H)
   )
)</f>
        <v/>
      </c>
      <c r="E99" s="11" t="str">
        <f>IF($A99="","", IF(COUNTIF($A$4:A99,$A99)&gt;1, "", IF(COUNTIF($G:$G,$A99)=0, "P/N not on MR", IF(SUMIF($A:$A,$A99,$B:$B)&lt;&gt;D99, "QTY Mismatch", "" ) ) ) )</f>
        <v/>
      </c>
      <c r="F99" s="2"/>
      <c r="G99" s="11"/>
      <c r="H99" s="12"/>
      <c r="I99" s="11" t="str">
        <f>IF($G99="","",
   IF(COUNTIF($G$4:G99,$G99)&gt;1,
      "",
      SUMIF($A:$A,$G99,$B:$B)
   )
)</f>
        <v/>
      </c>
      <c r="J99" s="11" t="str">
        <f>IF($G99="","",
   IF(COUNTIF($G$4:G99,$G99)&gt;1,
      "",
      SUMIF($G:$G,$G99,$H:$H)
   )
)</f>
        <v/>
      </c>
      <c r="K99" s="11" t="str">
        <f>IF($G99="","", IF(COUNTIF($G$4:G99,$G99)&gt;1, "", IF(COUNTIF($A:$A,$G99)=0, "P/N not on LPN", IF(SUMIF($G:$G,$G99,$H:$H)&lt;&gt;I99, "QTY Mismatch", "" ) ) ) )</f>
        <v/>
      </c>
      <c r="L99" s="2"/>
      <c r="M99" s="11"/>
      <c r="N99" s="12"/>
      <c r="O99" s="2"/>
    </row>
    <row r="100" spans="1:15" ht="15.5" thickTop="1" thickBot="1" x14ac:dyDescent="0.4">
      <c r="A100" s="6"/>
      <c r="B100" s="3"/>
      <c r="C100" s="6" t="str">
        <f>IF($A100="","",
   IF(COUNTIF($A$4:A100,$A100)&gt;1,
      "",
      SUMIF($A:$A,$A100,$B:$B)
   )
)</f>
        <v/>
      </c>
      <c r="D100" s="6" t="str">
        <f>IF($A100="","",
   IF(COUNTIF($A$4:A100,$A100)&gt;1,
      "",
      SUMIF($G:$G,$A100,$H:$H)
   )
)</f>
        <v/>
      </c>
      <c r="E100" s="6" t="str">
        <f>IF($A100="","", IF(COUNTIF($A$4:A100,$A100)&gt;1, "", IF(COUNTIF($G:$G,$A100)=0, "P/N not on MR", IF(SUMIF($A:$A,$A100,$B:$B)&lt;&gt;D100, "QTY Mismatch", "" ) ) ) )</f>
        <v/>
      </c>
      <c r="F100" s="2"/>
      <c r="G100" s="6"/>
      <c r="H100" s="3"/>
      <c r="I100" s="6" t="str">
        <f>IF($G100="","",
   IF(COUNTIF($G$4:G100,$G100)&gt;1,
      "",
      SUMIF($A:$A,$G100,$B:$B)
   )
)</f>
        <v/>
      </c>
      <c r="J100" s="6" t="str">
        <f>IF($G100="","",
   IF(COUNTIF($G$4:G100,$G100)&gt;1,
      "",
      SUMIF($G:$G,$G100,$H:$H)
   )
)</f>
        <v/>
      </c>
      <c r="K100" s="6" t="str">
        <f>IF($G100="","", IF(COUNTIF($G$4:G100,$G100)&gt;1, "", IF(COUNTIF($A:$A,$G100)=0, "P/N not on LPN", IF(SUMIF($G:$G,$G100,$H:$H)&lt;&gt;I100, "QTY Mismatch", "" ) ) ) )</f>
        <v/>
      </c>
      <c r="L100" s="2"/>
      <c r="M100" s="6"/>
      <c r="N100" s="3"/>
      <c r="O100" s="2"/>
    </row>
    <row r="101" spans="1:15" ht="15.5" thickTop="1" thickBot="1" x14ac:dyDescent="0.4">
      <c r="A101" s="11"/>
      <c r="B101" s="12"/>
      <c r="C101" s="11" t="str">
        <f>IF($A101="","",
   IF(COUNTIF($A$4:A101,$A101)&gt;1,
      "",
      SUMIF($A:$A,$A101,$B:$B)
   )
)</f>
        <v/>
      </c>
      <c r="D101" s="11" t="str">
        <f>IF($A101="","",
   IF(COUNTIF($A$4:A101,$A101)&gt;1,
      "",
      SUMIF($G:$G,$A101,$H:$H)
   )
)</f>
        <v/>
      </c>
      <c r="E101" s="11" t="str">
        <f>IF($A101="","", IF(COUNTIF($A$4:A101,$A101)&gt;1, "", IF(COUNTIF($G:$G,$A101)=0, "P/N not on MR", IF(SUMIF($A:$A,$A101,$B:$B)&lt;&gt;D101, "QTY Mismatch", "" ) ) ) )</f>
        <v/>
      </c>
      <c r="F101" s="2"/>
      <c r="G101" s="11"/>
      <c r="H101" s="12"/>
      <c r="I101" s="11" t="str">
        <f>IF($G101="","",
   IF(COUNTIF($G$4:G101,$G101)&gt;1,
      "",
      SUMIF($A:$A,$G101,$B:$B)
   )
)</f>
        <v/>
      </c>
      <c r="J101" s="11" t="str">
        <f>IF($G101="","",
   IF(COUNTIF($G$4:G101,$G101)&gt;1,
      "",
      SUMIF($G:$G,$G101,$H:$H)
   )
)</f>
        <v/>
      </c>
      <c r="K101" s="11" t="str">
        <f>IF($G101="","", IF(COUNTIF($G$4:G101,$G101)&gt;1, "", IF(COUNTIF($A:$A,$G101)=0, "P/N not on LPN", IF(SUMIF($G:$G,$G101,$H:$H)&lt;&gt;I101, "QTY Mismatch", "" ) ) ) )</f>
        <v/>
      </c>
      <c r="L101" s="2"/>
      <c r="M101" s="11"/>
      <c r="N101" s="12"/>
      <c r="O101" s="2"/>
    </row>
    <row r="102" spans="1:15" ht="15.5" thickTop="1" thickBot="1" x14ac:dyDescent="0.4">
      <c r="A102" s="6"/>
      <c r="B102" s="3"/>
      <c r="C102" s="6" t="str">
        <f>IF($A102="","",
   IF(COUNTIF($A$4:A102,$A102)&gt;1,
      "",
      SUMIF($A:$A,$A102,$B:$B)
   )
)</f>
        <v/>
      </c>
      <c r="D102" s="6" t="str">
        <f>IF($A102="","",
   IF(COUNTIF($A$4:A102,$A102)&gt;1,
      "",
      SUMIF($G:$G,$A102,$H:$H)
   )
)</f>
        <v/>
      </c>
      <c r="E102" s="6" t="str">
        <f>IF($A102="","", IF(COUNTIF($A$4:A102,$A102)&gt;1, "", IF(COUNTIF($G:$G,$A102)=0, "P/N not on MR", IF(SUMIF($A:$A,$A102,$B:$B)&lt;&gt;D102, "QTY Mismatch", "" ) ) ) )</f>
        <v/>
      </c>
      <c r="F102" s="2"/>
      <c r="G102" s="6"/>
      <c r="H102" s="3"/>
      <c r="I102" s="6" t="str">
        <f>IF($G102="","",
   IF(COUNTIF($G$4:G102,$G102)&gt;1,
      "",
      SUMIF($A:$A,$G102,$B:$B)
   )
)</f>
        <v/>
      </c>
      <c r="J102" s="6" t="str">
        <f>IF($G102="","",
   IF(COUNTIF($G$4:G102,$G102)&gt;1,
      "",
      SUMIF($G:$G,$G102,$H:$H)
   )
)</f>
        <v/>
      </c>
      <c r="K102" s="6" t="str">
        <f>IF($G102="","", IF(COUNTIF($G$4:G102,$G102)&gt;1, "", IF(COUNTIF($A:$A,$G102)=0, "P/N not on LPN", IF(SUMIF($G:$G,$G102,$H:$H)&lt;&gt;I102, "QTY Mismatch", "" ) ) ) )</f>
        <v/>
      </c>
      <c r="L102" s="2"/>
      <c r="M102" s="6"/>
      <c r="N102" s="3"/>
      <c r="O102" s="2"/>
    </row>
    <row r="103" spans="1:15" ht="15.5" thickTop="1" thickBot="1" x14ac:dyDescent="0.4">
      <c r="A103" s="11"/>
      <c r="B103" s="12"/>
      <c r="C103" s="11" t="str">
        <f>IF($A103="","",
   IF(COUNTIF($A$4:A103,$A103)&gt;1,
      "",
      SUMIF($A:$A,$A103,$B:$B)
   )
)</f>
        <v/>
      </c>
      <c r="D103" s="11" t="str">
        <f>IF($A103="","",
   IF(COUNTIF($A$4:A103,$A103)&gt;1,
      "",
      SUMIF($G:$G,$A103,$H:$H)
   )
)</f>
        <v/>
      </c>
      <c r="E103" s="11" t="str">
        <f>IF($A103="","", IF(COUNTIF($A$4:A103,$A103)&gt;1, "", IF(COUNTIF($G:$G,$A103)=0, "P/N not on MR", IF(SUMIF($A:$A,$A103,$B:$B)&lt;&gt;D103, "QTY Mismatch", "" ) ) ) )</f>
        <v/>
      </c>
      <c r="F103" s="2"/>
      <c r="G103" s="11"/>
      <c r="H103" s="12"/>
      <c r="I103" s="11" t="str">
        <f>IF($G103="","",
   IF(COUNTIF($G$4:G103,$G103)&gt;1,
      "",
      SUMIF($A:$A,$G103,$B:$B)
   )
)</f>
        <v/>
      </c>
      <c r="J103" s="11" t="str">
        <f>IF($G103="","",
   IF(COUNTIF($G$4:G103,$G103)&gt;1,
      "",
      SUMIF($G:$G,$G103,$H:$H)
   )
)</f>
        <v/>
      </c>
      <c r="K103" s="11" t="str">
        <f>IF($G103="","", IF(COUNTIF($G$4:G103,$G103)&gt;1, "", IF(COUNTIF($A:$A,$G103)=0, "P/N not on LPN", IF(SUMIF($G:$G,$G103,$H:$H)&lt;&gt;I103, "QTY Mismatch", "" ) ) ) )</f>
        <v/>
      </c>
      <c r="L103" s="2"/>
      <c r="M103" s="11"/>
      <c r="N103" s="12"/>
      <c r="O103" s="2"/>
    </row>
    <row r="104" spans="1:15" ht="15.5" thickTop="1" thickBot="1" x14ac:dyDescent="0.4">
      <c r="A104" s="6"/>
      <c r="B104" s="3"/>
      <c r="C104" s="6" t="str">
        <f>IF($A104="","",
   IF(COUNTIF($A$4:A104,$A104)&gt;1,
      "",
      SUMIF($A:$A,$A104,$B:$B)
   )
)</f>
        <v/>
      </c>
      <c r="D104" s="6" t="str">
        <f>IF($A104="","",
   IF(COUNTIF($A$4:A104,$A104)&gt;1,
      "",
      SUMIF($G:$G,$A104,$H:$H)
   )
)</f>
        <v/>
      </c>
      <c r="E104" s="6" t="str">
        <f>IF($A104="","", IF(COUNTIF($A$4:A104,$A104)&gt;1, "", IF(COUNTIF($G:$G,$A104)=0, "P/N not on MR", IF(SUMIF($A:$A,$A104,$B:$B)&lt;&gt;D104, "QTY Mismatch", "" ) ) ) )</f>
        <v/>
      </c>
      <c r="F104" s="2"/>
      <c r="G104" s="6"/>
      <c r="H104" s="3"/>
      <c r="I104" s="6" t="str">
        <f>IF($G104="","",
   IF(COUNTIF($G$4:G104,$G104)&gt;1,
      "",
      SUMIF($A:$A,$G104,$B:$B)
   )
)</f>
        <v/>
      </c>
      <c r="J104" s="6" t="str">
        <f>IF($G104="","",
   IF(COUNTIF($G$4:G104,$G104)&gt;1,
      "",
      SUMIF($G:$G,$G104,$H:$H)
   )
)</f>
        <v/>
      </c>
      <c r="K104" s="6" t="str">
        <f>IF($G104="","", IF(COUNTIF($G$4:G104,$G104)&gt;1, "", IF(COUNTIF($A:$A,$G104)=0, "P/N not on LPN", IF(SUMIF($G:$G,$G104,$H:$H)&lt;&gt;I104, "QTY Mismatch", "" ) ) ) )</f>
        <v/>
      </c>
      <c r="L104" s="2"/>
      <c r="M104" s="6"/>
      <c r="N104" s="3"/>
      <c r="O104" s="2"/>
    </row>
    <row r="105" spans="1:15" ht="15.5" thickTop="1" thickBot="1" x14ac:dyDescent="0.4">
      <c r="A105" s="11"/>
      <c r="B105" s="12"/>
      <c r="C105" s="11" t="str">
        <f>IF($A105="","",
   IF(COUNTIF($A$4:A105,$A105)&gt;1,
      "",
      SUMIF($A:$A,$A105,$B:$B)
   )
)</f>
        <v/>
      </c>
      <c r="D105" s="11" t="str">
        <f>IF($A105="","",
   IF(COUNTIF($A$4:A105,$A105)&gt;1,
      "",
      SUMIF($G:$G,$A105,$H:$H)
   )
)</f>
        <v/>
      </c>
      <c r="E105" s="11" t="str">
        <f>IF($A105="","", IF(COUNTIF($A$4:A105,$A105)&gt;1, "", IF(COUNTIF($G:$G,$A105)=0, "P/N not on MR", IF(SUMIF($A:$A,$A105,$B:$B)&lt;&gt;D105, "QTY Mismatch", "" ) ) ) )</f>
        <v/>
      </c>
      <c r="F105" s="2"/>
      <c r="G105" s="11"/>
      <c r="H105" s="12"/>
      <c r="I105" s="11" t="str">
        <f>IF($G105="","",
   IF(COUNTIF($G$4:G105,$G105)&gt;1,
      "",
      SUMIF($A:$A,$G105,$B:$B)
   )
)</f>
        <v/>
      </c>
      <c r="J105" s="11" t="str">
        <f>IF($G105="","",
   IF(COUNTIF($G$4:G105,$G105)&gt;1,
      "",
      SUMIF($G:$G,$G105,$H:$H)
   )
)</f>
        <v/>
      </c>
      <c r="K105" s="11" t="str">
        <f>IF($G105="","", IF(COUNTIF($G$4:G105,$G105)&gt;1, "", IF(COUNTIF($A:$A,$G105)=0, "P/N not on LPN", IF(SUMIF($G:$G,$G105,$H:$H)&lt;&gt;I105, "QTY Mismatch", "" ) ) ) )</f>
        <v/>
      </c>
      <c r="L105" s="2"/>
      <c r="M105" s="11"/>
      <c r="N105" s="12"/>
      <c r="O105" s="2"/>
    </row>
    <row r="106" spans="1:15" ht="15.5" thickTop="1" thickBot="1" x14ac:dyDescent="0.4">
      <c r="A106" s="6"/>
      <c r="B106" s="3"/>
      <c r="C106" s="6" t="str">
        <f>IF($A106="","",
   IF(COUNTIF($A$4:A106,$A106)&gt;1,
      "",
      SUMIF($A:$A,$A106,$B:$B)
   )
)</f>
        <v/>
      </c>
      <c r="D106" s="6" t="str">
        <f>IF($A106="","",
   IF(COUNTIF($A$4:A106,$A106)&gt;1,
      "",
      SUMIF($G:$G,$A106,$H:$H)
   )
)</f>
        <v/>
      </c>
      <c r="E106" s="6" t="str">
        <f>IF($A106="","", IF(COUNTIF($A$4:A106,$A106)&gt;1, "", IF(COUNTIF($G:$G,$A106)=0, "P/N not on MR", IF(SUMIF($A:$A,$A106,$B:$B)&lt;&gt;D106, "QTY Mismatch", "" ) ) ) )</f>
        <v/>
      </c>
      <c r="F106" s="2"/>
      <c r="G106" s="6"/>
      <c r="H106" s="3"/>
      <c r="I106" s="6" t="str">
        <f>IF($G106="","",
   IF(COUNTIF($G$4:G106,$G106)&gt;1,
      "",
      SUMIF($A:$A,$G106,$B:$B)
   )
)</f>
        <v/>
      </c>
      <c r="J106" s="6" t="str">
        <f>IF($G106="","",
   IF(COUNTIF($G$4:G106,$G106)&gt;1,
      "",
      SUMIF($G:$G,$G106,$H:$H)
   )
)</f>
        <v/>
      </c>
      <c r="K106" s="6" t="str">
        <f>IF($G106="","", IF(COUNTIF($G$4:G106,$G106)&gt;1, "", IF(COUNTIF($A:$A,$G106)=0, "P/N not on LPN", IF(SUMIF($G:$G,$G106,$H:$H)&lt;&gt;I106, "QTY Mismatch", "" ) ) ) )</f>
        <v/>
      </c>
      <c r="L106" s="2"/>
      <c r="M106" s="6"/>
      <c r="N106" s="3"/>
      <c r="O106" s="2"/>
    </row>
    <row r="107" spans="1:15" ht="15.5" thickTop="1" thickBot="1" x14ac:dyDescent="0.4">
      <c r="A107" s="11"/>
      <c r="B107" s="12"/>
      <c r="C107" s="11" t="str">
        <f>IF($A107="","",
   IF(COUNTIF($A$4:A107,$A107)&gt;1,
      "",
      SUMIF($A:$A,$A107,$B:$B)
   )
)</f>
        <v/>
      </c>
      <c r="D107" s="11" t="str">
        <f>IF($A107="","",
   IF(COUNTIF($A$4:A107,$A107)&gt;1,
      "",
      SUMIF($G:$G,$A107,$H:$H)
   )
)</f>
        <v/>
      </c>
      <c r="E107" s="11" t="str">
        <f>IF($A107="","", IF(COUNTIF($A$4:A107,$A107)&gt;1, "", IF(COUNTIF($G:$G,$A107)=0, "P/N not on MR", IF(SUMIF($A:$A,$A107,$B:$B)&lt;&gt;D107, "QTY Mismatch", "" ) ) ) )</f>
        <v/>
      </c>
      <c r="F107" s="2"/>
      <c r="G107" s="11"/>
      <c r="H107" s="12"/>
      <c r="I107" s="11" t="str">
        <f>IF($G107="","",
   IF(COUNTIF($G$4:G107,$G107)&gt;1,
      "",
      SUMIF($A:$A,$G107,$B:$B)
   )
)</f>
        <v/>
      </c>
      <c r="J107" s="11" t="str">
        <f>IF($G107="","",
   IF(COUNTIF($G$4:G107,$G107)&gt;1,
      "",
      SUMIF($G:$G,$G107,$H:$H)
   )
)</f>
        <v/>
      </c>
      <c r="K107" s="11" t="str">
        <f>IF($G107="","", IF(COUNTIF($G$4:G107,$G107)&gt;1, "", IF(COUNTIF($A:$A,$G107)=0, "P/N not on LPN", IF(SUMIF($G:$G,$G107,$H:$H)&lt;&gt;I107, "QTY Mismatch", "" ) ) ) )</f>
        <v/>
      </c>
      <c r="L107" s="2"/>
      <c r="M107" s="11"/>
      <c r="N107" s="12"/>
      <c r="O107" s="2"/>
    </row>
    <row r="108" spans="1:15" ht="15.5" thickTop="1" thickBot="1" x14ac:dyDescent="0.4">
      <c r="A108" s="6"/>
      <c r="B108" s="3"/>
      <c r="C108" s="6" t="str">
        <f>IF($A108="","",
   IF(COUNTIF($A$4:A108,$A108)&gt;1,
      "",
      SUMIF($A:$A,$A108,$B:$B)
   )
)</f>
        <v/>
      </c>
      <c r="D108" s="6" t="str">
        <f>IF($A108="","",
   IF(COUNTIF($A$4:A108,$A108)&gt;1,
      "",
      SUMIF($G:$G,$A108,$H:$H)
   )
)</f>
        <v/>
      </c>
      <c r="E108" s="6" t="str">
        <f>IF($A108="","", IF(COUNTIF($A$4:A108,$A108)&gt;1, "", IF(COUNTIF($G:$G,$A108)=0, "P/N not on MR", IF(SUMIF($A:$A,$A108,$B:$B)&lt;&gt;D108, "QTY Mismatch", "" ) ) ) )</f>
        <v/>
      </c>
      <c r="F108" s="2"/>
      <c r="G108" s="6"/>
      <c r="H108" s="3"/>
      <c r="I108" s="6" t="str">
        <f>IF($G108="","",
   IF(COUNTIF($G$4:G108,$G108)&gt;1,
      "",
      SUMIF($A:$A,$G108,$B:$B)
   )
)</f>
        <v/>
      </c>
      <c r="J108" s="6" t="str">
        <f>IF($G108="","",
   IF(COUNTIF($G$4:G108,$G108)&gt;1,
      "",
      SUMIF($G:$G,$G108,$H:$H)
   )
)</f>
        <v/>
      </c>
      <c r="K108" s="6" t="str">
        <f>IF($G108="","", IF(COUNTIF($G$4:G108,$G108)&gt;1, "", IF(COUNTIF($A:$A,$G108)=0, "P/N not on LPN", IF(SUMIF($G:$G,$G108,$H:$H)&lt;&gt;I108, "QTY Mismatch", "" ) ) ) )</f>
        <v/>
      </c>
      <c r="L108" s="2"/>
      <c r="M108" s="6"/>
      <c r="N108" s="3"/>
      <c r="O108" s="2"/>
    </row>
    <row r="109" spans="1:15" ht="15.5" thickTop="1" thickBot="1" x14ac:dyDescent="0.4">
      <c r="A109" s="11"/>
      <c r="B109" s="12"/>
      <c r="C109" s="11" t="str">
        <f>IF($A109="","",
   IF(COUNTIF($A$4:A109,$A109)&gt;1,
      "",
      SUMIF($A:$A,$A109,$B:$B)
   )
)</f>
        <v/>
      </c>
      <c r="D109" s="11" t="str">
        <f>IF($A109="","",
   IF(COUNTIF($A$4:A109,$A109)&gt;1,
      "",
      SUMIF($G:$G,$A109,$H:$H)
   )
)</f>
        <v/>
      </c>
      <c r="E109" s="11" t="str">
        <f>IF($A109="","", IF(COUNTIF($A$4:A109,$A109)&gt;1, "", IF(COUNTIF($G:$G,$A109)=0, "P/N not on MR", IF(SUMIF($A:$A,$A109,$B:$B)&lt;&gt;D109, "QTY Mismatch", "" ) ) ) )</f>
        <v/>
      </c>
      <c r="F109" s="2"/>
      <c r="G109" s="11"/>
      <c r="H109" s="12"/>
      <c r="I109" s="11" t="str">
        <f>IF($G109="","",
   IF(COUNTIF($G$4:G109,$G109)&gt;1,
      "",
      SUMIF($A:$A,$G109,$B:$B)
   )
)</f>
        <v/>
      </c>
      <c r="J109" s="11" t="str">
        <f>IF($G109="","",
   IF(COUNTIF($G$4:G109,$G109)&gt;1,
      "",
      SUMIF($G:$G,$G109,$H:$H)
   )
)</f>
        <v/>
      </c>
      <c r="K109" s="11" t="str">
        <f>IF($G109="","", IF(COUNTIF($G$4:G109,$G109)&gt;1, "", IF(COUNTIF($A:$A,$G109)=0, "P/N not on LPN", IF(SUMIF($G:$G,$G109,$H:$H)&lt;&gt;I109, "QTY Mismatch", "" ) ) ) )</f>
        <v/>
      </c>
      <c r="L109" s="2"/>
      <c r="M109" s="11"/>
      <c r="N109" s="12"/>
      <c r="O109" s="2"/>
    </row>
    <row r="110" spans="1:15" ht="15.5" thickTop="1" thickBot="1" x14ac:dyDescent="0.4">
      <c r="A110" s="6"/>
      <c r="B110" s="3"/>
      <c r="C110" s="6" t="str">
        <f>IF($A110="","",
   IF(COUNTIF($A$4:A110,$A110)&gt;1,
      "",
      SUMIF($A:$A,$A110,$B:$B)
   )
)</f>
        <v/>
      </c>
      <c r="D110" s="6" t="str">
        <f>IF($A110="","",
   IF(COUNTIF($A$4:A110,$A110)&gt;1,
      "",
      SUMIF($G:$G,$A110,$H:$H)
   )
)</f>
        <v/>
      </c>
      <c r="E110" s="6" t="str">
        <f>IF($A110="","", IF(COUNTIF($A$4:A110,$A110)&gt;1, "", IF(COUNTIF($G:$G,$A110)=0, "P/N not on MR", IF(SUMIF($A:$A,$A110,$B:$B)&lt;&gt;D110, "QTY Mismatch", "" ) ) ) )</f>
        <v/>
      </c>
      <c r="F110" s="2"/>
      <c r="G110" s="6"/>
      <c r="H110" s="3"/>
      <c r="I110" s="6" t="str">
        <f>IF($G110="","",
   IF(COUNTIF($G$4:G110,$G110)&gt;1,
      "",
      SUMIF($A:$A,$G110,$B:$B)
   )
)</f>
        <v/>
      </c>
      <c r="J110" s="6" t="str">
        <f>IF($G110="","",
   IF(COUNTIF($G$4:G110,$G110)&gt;1,
      "",
      SUMIF($G:$G,$G110,$H:$H)
   )
)</f>
        <v/>
      </c>
      <c r="K110" s="6" t="str">
        <f>IF($G110="","", IF(COUNTIF($G$4:G110,$G110)&gt;1, "", IF(COUNTIF($A:$A,$G110)=0, "P/N not on LPN", IF(SUMIF($G:$G,$G110,$H:$H)&lt;&gt;I110, "QTY Mismatch", "" ) ) ) )</f>
        <v/>
      </c>
      <c r="L110" s="2"/>
      <c r="M110" s="6"/>
      <c r="N110" s="3"/>
      <c r="O110" s="2"/>
    </row>
    <row r="111" spans="1:15" ht="15" thickTop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</sheetData>
  <sheetProtection selectLockedCells="1"/>
  <mergeCells count="11">
    <mergeCell ref="X1:Z1"/>
    <mergeCell ref="X2:Z2"/>
    <mergeCell ref="X3:Z3"/>
    <mergeCell ref="X4:Z6"/>
    <mergeCell ref="A1:E1"/>
    <mergeCell ref="A2:B2"/>
    <mergeCell ref="C2:D2"/>
    <mergeCell ref="G1:K1"/>
    <mergeCell ref="M1:N2"/>
    <mergeCell ref="G2:H2"/>
    <mergeCell ref="I2:J2"/>
  </mergeCells>
  <conditionalFormatting sqref="A4:E110">
    <cfRule type="expression" dxfId="7" priority="9">
      <formula>OR(   $E4="P/N not on MR",   $E4="P/N not on LPN",   $E4="LPN Over Qty",   $E4="LPN Under Qty",   $E4="QTY mismatch" )</formula>
    </cfRule>
  </conditionalFormatting>
  <conditionalFormatting sqref="G4:K110">
    <cfRule type="expression" dxfId="6" priority="8">
      <formula>OR(   $K4="P/N not on LPN",   $K4="LPN Over Qty",   $K4="LPN Under Qty",   $K4="QTY mismatch" )</formula>
    </cfRule>
  </conditionalFormatting>
  <conditionalFormatting sqref="M4:M110">
    <cfRule type="duplicateValues" dxfId="5" priority="3"/>
    <cfRule type="expression" dxfId="4" priority="4">
      <formula>AND($M4&lt;&gt;"", COUNTIF($N:$N, $M4)=0)</formula>
    </cfRule>
    <cfRule type="expression" dxfId="3" priority="6">
      <formula>AND($M4&lt;&gt;"", COUNTIF($N:$N,$M4)&gt;0)</formula>
    </cfRule>
  </conditionalFormatting>
  <conditionalFormatting sqref="N4:N110">
    <cfRule type="duplicateValues" dxfId="2" priority="2"/>
    <cfRule type="expression" dxfId="1" priority="5">
      <formula>AND($N4&lt;&gt;"", COUNTIF($M:$M, $N4)=0)</formula>
    </cfRule>
    <cfRule type="expression" dxfId="0" priority="7">
      <formula>AND($N4&lt;&gt;"", COUNTIF($M:$M,$N4)&gt;0)</formula>
    </cfRule>
  </conditionalFormatting>
  <pageMargins left="0.7" right="0.7" top="0.75" bottom="0.75" header="0.3" footer="0.3"/>
  <pageSetup orientation="portrait" r:id="rId1"/>
  <headerFooter>
    <oddFooter>&amp;C_x000D_&amp;1#&amp;"Calibri"&amp;10&amp;K008000 GENERAL</oddFooter>
  </headerFooter>
  <ignoredErrors>
    <ignoredError sqref="I8" unlocked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E441983C39F40A80F11C16AFE70B1" ma:contentTypeVersion="8" ma:contentTypeDescription="Create a new document." ma:contentTypeScope="" ma:versionID="901c1ed6e06890ed8c6748c573981088">
  <xsd:schema xmlns:xsd="http://www.w3.org/2001/XMLSchema" xmlns:xs="http://www.w3.org/2001/XMLSchema" xmlns:p="http://schemas.microsoft.com/office/2006/metadata/properties" xmlns:ns2="690e0998-aa7b-4232-8798-fdb015232125" xmlns:ns3="f45e3486-7e21-4898-8c31-efc8d70ede87" targetNamespace="http://schemas.microsoft.com/office/2006/metadata/properties" ma:root="true" ma:fieldsID="edb8b5a54bda140bcc8a4b56d00015df" ns2:_="" ns3:_="">
    <xsd:import namespace="690e0998-aa7b-4232-8798-fdb015232125"/>
    <xsd:import namespace="f45e3486-7e21-4898-8c31-efc8d70ed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e0998-aa7b-4232-8798-fdb015232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c3abd82-5fc2-4d9c-9548-5153d2824f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e3486-7e21-4898-8c31-efc8d70ede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cc025e-95ce-494c-809d-017f18cd7cd9}" ma:internalName="TaxCatchAll" ma:showField="CatchAllData" ma:web="f45e3486-7e21-4898-8c31-efc8d70ede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e3486-7e21-4898-8c31-efc8d70ede87" xsi:nil="true"/>
    <lcf76f155ced4ddcb4097134ff3c332f xmlns="690e0998-aa7b-4232-8798-fdb0152321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4F2D10-097A-4C49-B492-69BA006FB6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0e0998-aa7b-4232-8798-fdb015232125"/>
    <ds:schemaRef ds:uri="f45e3486-7e21-4898-8c31-efc8d70ede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94AFA3-AE51-4AAB-9EB7-95C95E01D3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EA1B7C-CD69-40DA-9ACE-304D4A814F18}">
  <ds:schemaRefs>
    <ds:schemaRef ds:uri="http://schemas.microsoft.com/office/2006/metadata/properties"/>
    <ds:schemaRef ds:uri="http://schemas.microsoft.com/office/infopath/2007/PartnerControls"/>
    <ds:schemaRef ds:uri="f45e3486-7e21-4898-8c31-efc8d70ede87"/>
    <ds:schemaRef ds:uri="690e0998-aa7b-4232-8798-fdb015232125"/>
  </ds:schemaRefs>
</ds:datastoreItem>
</file>

<file path=docMetadata/LabelInfo.xml><?xml version="1.0" encoding="utf-8"?>
<clbl:labelList xmlns:clbl="http://schemas.microsoft.com/office/2020/mipLabelMetadata">
  <clbl:label id="{d7b2f555-efd0-47ca-8acc-b44f6dd8d9cb}" enabled="1" method="Privileged" siteId="{a2d8e6b4-e26e-4421-8f3d-ec288c827c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OV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Benjamin.CullumJr@wwt.com;Thomas.Carnell@wwt.com</dc:creator>
  <cp:keywords/>
  <dc:description/>
  <cp:lastModifiedBy>Cullum, Ben</cp:lastModifiedBy>
  <cp:revision/>
  <dcterms:created xsi:type="dcterms:W3CDTF">2025-11-13T12:36:52Z</dcterms:created>
  <dcterms:modified xsi:type="dcterms:W3CDTF">2026-04-23T10:50:31Z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0x010100260E441983C39F40A80F11C16AFE70B1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